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Работа\"/>
    </mc:Choice>
  </mc:AlternateContent>
  <xr:revisionPtr revIDLastSave="0" documentId="13_ncr:1_{FF109DAE-DF1B-40FE-B52D-47C183FAEE2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🧮 Калькулятор" sheetId="6" r:id="rId1"/>
    <sheet name="📋 Прайс-лист" sheetId="7" r:id="rId2"/>
    <sheet name="📊 Сводная" sheetId="1" r:id="rId3"/>
    <sheet name="💰 Доходы" sheetId="2" r:id="rId4"/>
    <sheet name="💸 Расходы" sheetId="3" r:id="rId5"/>
    <sheet name="🔧 Техника" sheetId="4" r:id="rId6"/>
    <sheet name="🚀 План сезона" sheetId="5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4" l="1"/>
  <c r="E17" i="4"/>
  <c r="F17" i="4"/>
  <c r="G17" i="4"/>
  <c r="H17" i="4"/>
  <c r="D41" i="5"/>
  <c r="D45" i="5" s="1"/>
  <c r="D46" i="5" s="1"/>
  <c r="E310" i="2"/>
  <c r="H7" i="6"/>
  <c r="H8" i="6"/>
  <c r="H9" i="6"/>
  <c r="H10" i="6"/>
  <c r="H12" i="6"/>
  <c r="H14" i="6"/>
  <c r="H15" i="6"/>
  <c r="H16" i="6"/>
  <c r="H17" i="6"/>
  <c r="H19" i="6"/>
  <c r="H20" i="6"/>
  <c r="H21" i="6"/>
  <c r="H22" i="6"/>
  <c r="H23" i="6"/>
  <c r="H24" i="6"/>
  <c r="H25" i="6"/>
  <c r="H27" i="6"/>
  <c r="H28" i="6"/>
  <c r="H29" i="6"/>
  <c r="H31" i="6"/>
  <c r="H32" i="6"/>
  <c r="H33" i="6"/>
  <c r="H34" i="6"/>
  <c r="H36" i="6"/>
  <c r="H37" i="6"/>
  <c r="H38" i="6"/>
  <c r="H39" i="6"/>
  <c r="H40" i="6"/>
  <c r="H41" i="6"/>
  <c r="H42" i="6"/>
  <c r="H43" i="6"/>
  <c r="H44" i="6"/>
  <c r="H46" i="6"/>
  <c r="H47" i="6"/>
  <c r="H48" i="6"/>
  <c r="H49" i="6"/>
  <c r="G51" i="6"/>
  <c r="E7" i="5"/>
  <c r="E6" i="5"/>
  <c r="E5" i="5"/>
  <c r="D100" i="3"/>
  <c r="D99" i="3"/>
  <c r="D98" i="3"/>
  <c r="D97" i="3"/>
  <c r="D96" i="3"/>
  <c r="F92" i="3"/>
  <c r="E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E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B15" i="1"/>
  <c r="B14" i="1"/>
  <c r="C11" i="1"/>
  <c r="C14" i="1" s="1"/>
  <c r="B11" i="1"/>
  <c r="E10" i="1"/>
  <c r="D10" i="1"/>
  <c r="E7" i="1"/>
  <c r="D7" i="1"/>
  <c r="C7" i="1"/>
  <c r="B7" i="1"/>
  <c r="E6" i="1"/>
  <c r="D6" i="1"/>
  <c r="E14" i="1" l="1"/>
  <c r="D14" i="1"/>
  <c r="C15" i="1"/>
  <c r="D11" i="1"/>
  <c r="E11" i="1"/>
  <c r="D15" i="1" l="1"/>
  <c r="E15" i="1"/>
</calcChain>
</file>

<file path=xl/sharedStrings.xml><?xml version="1.0" encoding="utf-8"?>
<sst xmlns="http://schemas.openxmlformats.org/spreadsheetml/2006/main" count="1201" uniqueCount="562">
  <si>
    <t>🌿 УПРАВЛЕНИЕ БИЗНЕСОМ — ПОКОС</t>
  </si>
  <si>
    <t>Учёт доходов и расходов по направлению "Покос"  |  Данные из CRM Битрикс + чеки Яндекс Маркет</t>
  </si>
  <si>
    <t>Показатель</t>
  </si>
  <si>
    <t>2024</t>
  </si>
  <si>
    <t>2025</t>
  </si>
  <si>
    <t>Динамика (₽)</t>
  </si>
  <si>
    <t>Динамика (%)</t>
  </si>
  <si>
    <t>💰 ДОХОДЫ</t>
  </si>
  <si>
    <t>Покос — доходы (успешные сделки)</t>
  </si>
  <si>
    <t>ИТОГО ДОХОДЫ</t>
  </si>
  <si>
    <t>💸 РАСХОДЫ</t>
  </si>
  <si>
    <t>Покос — расходы (из чеков)</t>
  </si>
  <si>
    <t>ИТОГО РАСХОДЫ</t>
  </si>
  <si>
    <t>📈 ЧИСТАЯ ПРИБЫЛЬ</t>
  </si>
  <si>
    <t>Покос — прибыль</t>
  </si>
  <si>
    <t>ИТОГО ЧИСТАЯ ПРИБЫЛЬ</t>
  </si>
  <si>
    <t>* Доходы 2025 из CRM Битрикс (только успешные сделки). Расходы 2025 из чеков Яндекс Маркет + текстовые данные.</t>
  </si>
  <si>
    <t>💰 УЧЁТ ДОХОДОВ — ПОКОС</t>
  </si>
  <si>
    <t>📅 2024 ГОД</t>
  </si>
  <si>
    <t>Дата</t>
  </si>
  <si>
    <t>Название / Адрес</t>
  </si>
  <si>
    <t>Тип</t>
  </si>
  <si>
    <t>Год</t>
  </si>
  <si>
    <t>Сумма</t>
  </si>
  <si>
    <t>Кум. итог</t>
  </si>
  <si>
    <t>13.06.2024</t>
  </si>
  <si>
    <t>Фаворит 397</t>
  </si>
  <si>
    <t>Покос</t>
  </si>
  <si>
    <t>09.07.2024</t>
  </si>
  <si>
    <t>Фаворит 140</t>
  </si>
  <si>
    <t>Фаворит 235</t>
  </si>
  <si>
    <t>27.07.2024</t>
  </si>
  <si>
    <t>СНТ Бриз</t>
  </si>
  <si>
    <t>Южный Версаль</t>
  </si>
  <si>
    <t>28.07.2024</t>
  </si>
  <si>
    <t>Фаворит 453</t>
  </si>
  <si>
    <t>Новый Бор</t>
  </si>
  <si>
    <t>08.08.2024</t>
  </si>
  <si>
    <t>Новая Ропша</t>
  </si>
  <si>
    <t>18.08.2024</t>
  </si>
  <si>
    <t>КП Волковицы</t>
  </si>
  <si>
    <t>21.08.2024</t>
  </si>
  <si>
    <t>Фаворит 475</t>
  </si>
  <si>
    <t>24.08.2024</t>
  </si>
  <si>
    <t>26.08.2024</t>
  </si>
  <si>
    <t>Антон Пески</t>
  </si>
  <si>
    <t>27.08.2024</t>
  </si>
  <si>
    <t>Алексеевское</t>
  </si>
  <si>
    <t>28.08.2024</t>
  </si>
  <si>
    <t>Вильповицы</t>
  </si>
  <si>
    <t>01.09.2024</t>
  </si>
  <si>
    <t>Волшебная Поляна</t>
  </si>
  <si>
    <t>07.09.2024</t>
  </si>
  <si>
    <t>14.09.2024</t>
  </si>
  <si>
    <t>Фаворит 109</t>
  </si>
  <si>
    <t>17.09.2024</t>
  </si>
  <si>
    <t>Глядино</t>
  </si>
  <si>
    <t>21.09.2024</t>
  </si>
  <si>
    <t>Кипень</t>
  </si>
  <si>
    <t>22.09.2024</t>
  </si>
  <si>
    <t>Фаворит 175</t>
  </si>
  <si>
    <t>05.10.2024</t>
  </si>
  <si>
    <t>Ольга Тайцы</t>
  </si>
  <si>
    <t>12.10.2024</t>
  </si>
  <si>
    <t>14.10.2024</t>
  </si>
  <si>
    <t>ИТОГО 2024</t>
  </si>
  <si>
    <t>📅 2025 ГОД</t>
  </si>
  <si>
    <t>18.04.2025</t>
  </si>
  <si>
    <t>Ропша Виктория</t>
  </si>
  <si>
    <t>22.04.2025</t>
  </si>
  <si>
    <t>Север Виктория</t>
  </si>
  <si>
    <t>10.05.2025</t>
  </si>
  <si>
    <t>Анатолий Аристов - Открытая линия</t>
  </si>
  <si>
    <t>11.05.2025</t>
  </si>
  <si>
    <t>Юрий Лопухинка</t>
  </si>
  <si>
    <t>13.05.2025</t>
  </si>
  <si>
    <t>Мария фаворит прополка, скарификация</t>
  </si>
  <si>
    <t>14.05.2025</t>
  </si>
  <si>
    <t>Тайцы</t>
  </si>
  <si>
    <t>22.05.2025</t>
  </si>
  <si>
    <t>Фаворит 391</t>
  </si>
  <si>
    <t>23.05.2025</t>
  </si>
  <si>
    <t>Олег Лора</t>
  </si>
  <si>
    <t>25.05.2025</t>
  </si>
  <si>
    <t>Фаворит 125</t>
  </si>
  <si>
    <t>397 Участок</t>
  </si>
  <si>
    <t>26.05.2025</t>
  </si>
  <si>
    <t>Ульяна Гостилицы</t>
  </si>
  <si>
    <t>27.05.2025</t>
  </si>
  <si>
    <t>Леонид Глядино Начало сезона</t>
  </si>
  <si>
    <t>28.05.2025</t>
  </si>
  <si>
    <t>Южная дача, Дачная 23</t>
  </si>
  <si>
    <t>30.05.2025</t>
  </si>
  <si>
    <t>Елена Купеческая 400</t>
  </si>
  <si>
    <t>31.05.2025</t>
  </si>
  <si>
    <t>Гостилицы Михаил вишневый проезд 6</t>
  </si>
  <si>
    <t>02.06.2025</t>
  </si>
  <si>
    <t>Варвара фаворит</t>
  </si>
  <si>
    <t>Александр - Открытая линия</t>
  </si>
  <si>
    <t>03.06.2025</t>
  </si>
  <si>
    <t>Кипень новостроек 20</t>
  </si>
  <si>
    <t>04.06.2025</t>
  </si>
  <si>
    <t>Андрей СНТ Бриз</t>
  </si>
  <si>
    <t>Еженедельный покос 1</t>
  </si>
  <si>
    <t>06.06.2025</t>
  </si>
  <si>
    <t>07.06.2025</t>
  </si>
  <si>
    <t>Савченко Фаворит</t>
  </si>
  <si>
    <t>Фаворит 90 А Валанкина</t>
  </si>
  <si>
    <t>Фаворит 75а</t>
  </si>
  <si>
    <t>08.06.2025</t>
  </si>
  <si>
    <t>Южный Версаль Осиновая 123</t>
  </si>
  <si>
    <t>Алёна Шигаева</t>
  </si>
  <si>
    <t>Фаворит 13 А Наталья</t>
  </si>
  <si>
    <t>09.06.2025</t>
  </si>
  <si>
    <t>Ульяна (песочный север)Александр</t>
  </si>
  <si>
    <t>11.06.2025</t>
  </si>
  <si>
    <t>Владимир Михайловская</t>
  </si>
  <si>
    <t>Еженедельный покос 2</t>
  </si>
  <si>
    <t>12.06.2025</t>
  </si>
  <si>
    <t>Сергей 162 уч фаворит</t>
  </si>
  <si>
    <t>13.06.2025</t>
  </si>
  <si>
    <t>466 фаворит</t>
  </si>
  <si>
    <t>14.06.2025</t>
  </si>
  <si>
    <t>Долинский</t>
  </si>
  <si>
    <t>Илья Юрьевич Фаворит</t>
  </si>
  <si>
    <t>15.06.2025</t>
  </si>
  <si>
    <t>Максим зеленый хутор</t>
  </si>
  <si>
    <t>Ульяна Гостилицы 2</t>
  </si>
  <si>
    <t>Татьяна Фаворит Престольная 8</t>
  </si>
  <si>
    <t>Ника Рыбина Зеленый Хутор 281</t>
  </si>
  <si>
    <t>Фаворит 415</t>
  </si>
  <si>
    <t>17.06.2025</t>
  </si>
  <si>
    <t>Серёжа Фастовец 186 уч 1 покос</t>
  </si>
  <si>
    <t>Наталья 4 уч</t>
  </si>
  <si>
    <t>18.06.2025</t>
  </si>
  <si>
    <t>Еженедельный покос 3</t>
  </si>
  <si>
    <t>Ника Рыбина Фаворит 99а</t>
  </si>
  <si>
    <t>Сергей глухово</t>
  </si>
  <si>
    <t>Бабушка Леонида</t>
  </si>
  <si>
    <t>Антон Пески Еженедельный покос 1</t>
  </si>
  <si>
    <t>19.06.2025</t>
  </si>
  <si>
    <t>Яна Добби фаворит 304</t>
  </si>
  <si>
    <t>Канава Ропша Виктория</t>
  </si>
  <si>
    <t>Никита 34а (газон, ждём без дождя)</t>
  </si>
  <si>
    <t>21.06.2025</t>
  </si>
  <si>
    <t>Владимир Михайловская Еженедельный покос 1</t>
  </si>
  <si>
    <t>23.06.2025</t>
  </si>
  <si>
    <t>24.06.2025</t>
  </si>
  <si>
    <t>Покос Парк</t>
  </si>
  <si>
    <t>Боярская 239/2</t>
  </si>
  <si>
    <t>Эльвина Фаворит 133</t>
  </si>
  <si>
    <t>25.06.2025</t>
  </si>
  <si>
    <t>Еженедельный покос 4</t>
  </si>
  <si>
    <t>Антон Пески Еженедельный покос 2</t>
  </si>
  <si>
    <t>26.06.2025</t>
  </si>
  <si>
    <t>Екатерина Гринвальд фаворит</t>
  </si>
  <si>
    <t>27.06.2025</t>
  </si>
  <si>
    <t>Наташа - Открытая линия</t>
  </si>
  <si>
    <t>Денис Кондрашов Фаворит</t>
  </si>
  <si>
    <t>02.07.2025</t>
  </si>
  <si>
    <t>Еженедельный покос 5</t>
  </si>
  <si>
    <t>Елена 140 фаворит</t>
  </si>
  <si>
    <t>Галина 359 фаворит</t>
  </si>
  <si>
    <t>03.07.2025</t>
  </si>
  <si>
    <t>Артур - Открытая линия</t>
  </si>
  <si>
    <t>Сделка #276</t>
  </si>
  <si>
    <t>04.07.2025</t>
  </si>
  <si>
    <t>Бабушка Леонида 2</t>
  </si>
  <si>
    <t>06.07.2025</t>
  </si>
  <si>
    <t>Наталья - Открытая линия</t>
  </si>
  <si>
    <t>Полина Престольная 26</t>
  </si>
  <si>
    <t>Лора вторник</t>
  </si>
  <si>
    <t>07.07.2025</t>
  </si>
  <si>
    <t>Ульяна гостилицы пт-сб</t>
  </si>
  <si>
    <t>08.07.2025</t>
  </si>
  <si>
    <t>Катриша 2</t>
  </si>
  <si>
    <t>09.07.2025</t>
  </si>
  <si>
    <t>Борис Бычков</t>
  </si>
  <si>
    <t>Еженедельный покос 6</t>
  </si>
  <si>
    <t>10.07.2025</t>
  </si>
  <si>
    <t>Ника Рыбина Зеленый Хутор 234</t>
  </si>
  <si>
    <t>11.07.2025</t>
  </si>
  <si>
    <t>Антон Пески Еженедельный покос 3</t>
  </si>
  <si>
    <t>12.07.2025</t>
  </si>
  <si>
    <t>Владимир Михайловская Еженедельный покос 2</t>
  </si>
  <si>
    <t>Ершов Кирилл 332 фаворит</t>
  </si>
  <si>
    <t>13.07.2025</t>
  </si>
  <si>
    <t>15.07.2025</t>
  </si>
  <si>
    <t>Покос ТП Княжеская</t>
  </si>
  <si>
    <t>16.07.2025</t>
  </si>
  <si>
    <t>Еженедельный покос 7</t>
  </si>
  <si>
    <t>18.07.2025</t>
  </si>
  <si>
    <t>Фаворит 406</t>
  </si>
  <si>
    <t>19.07.2025</t>
  </si>
  <si>
    <t>Фаворит 114</t>
  </si>
  <si>
    <t>Алексей 453 обочина</t>
  </si>
  <si>
    <t>20.07.2025</t>
  </si>
  <si>
    <t>Бабушка Леонида 3</t>
  </si>
  <si>
    <t>21.07.2025</t>
  </si>
  <si>
    <t>Антон Пески Еженедельный покос 4</t>
  </si>
  <si>
    <t>23.07.2025</t>
  </si>
  <si>
    <t>Еженедельный покос 8</t>
  </si>
  <si>
    <t>26.07.2025</t>
  </si>
  <si>
    <t>Иван Прилесье 147</t>
  </si>
  <si>
    <t>Мария 235 обочина</t>
  </si>
  <si>
    <t>Лора Олег</t>
  </si>
  <si>
    <t>29.07.2025</t>
  </si>
  <si>
    <t>Фаворит 396 и 398</t>
  </si>
  <si>
    <t>30.07.2025</t>
  </si>
  <si>
    <t>Владимир Михайловская Еженедельный покос 3</t>
  </si>
  <si>
    <t>Антон Пески Еженедельный покос 5</t>
  </si>
  <si>
    <t>Еженедельный покос 9</t>
  </si>
  <si>
    <t>31.07.2025</t>
  </si>
  <si>
    <t>Фаворит 75а 2</t>
  </si>
  <si>
    <t>447 Мария</t>
  </si>
  <si>
    <t>Максим Пашков 454 Фаворит</t>
  </si>
  <si>
    <t>Дмитрий 212 Фаворит</t>
  </si>
  <si>
    <t>03.08.2025</t>
  </si>
  <si>
    <t>Виктория Рощупкина</t>
  </si>
  <si>
    <t>04.08.2025</t>
  </si>
  <si>
    <t>Ульяна</t>
  </si>
  <si>
    <t>05.08.2025</t>
  </si>
  <si>
    <t>34а фаворит 2</t>
  </si>
  <si>
    <t>06.08.2025</t>
  </si>
  <si>
    <t>Еженедельный покос 10</t>
  </si>
  <si>
    <t>09.08.2025</t>
  </si>
  <si>
    <t>408 фаворит Евгения деревья</t>
  </si>
  <si>
    <t>11.08.2025</t>
  </si>
  <si>
    <t>13.08.2025</t>
  </si>
  <si>
    <t>Еженедельный покос 11</t>
  </si>
  <si>
    <t>14.08.2025</t>
  </si>
  <si>
    <t>Владимир Михайловская Еженедельный покос 4</t>
  </si>
  <si>
    <t>Аропакузи от Дмитрия</t>
  </si>
  <si>
    <t>15.08.2025</t>
  </si>
  <si>
    <t>Фаворит 407</t>
  </si>
  <si>
    <t>20.08.2025</t>
  </si>
  <si>
    <t>Дарья 16А Фаворит</t>
  </si>
  <si>
    <t>Еженедельный покос 12</t>
  </si>
  <si>
    <t>Антон Пески Еженедельный покос 6</t>
  </si>
  <si>
    <t>23.08.2025</t>
  </si>
  <si>
    <t>Бабушка Леонида 4</t>
  </si>
  <si>
    <t>25.08.2025</t>
  </si>
  <si>
    <t>Мария 447</t>
  </si>
  <si>
    <t>27.08.2025</t>
  </si>
  <si>
    <t>Еженедельный покос 13</t>
  </si>
  <si>
    <t>29.08.2025</t>
  </si>
  <si>
    <t>Владимир Михайловская Еженедельный покос 5</t>
  </si>
  <si>
    <t>02.09.2025</t>
  </si>
  <si>
    <t>Екатерина 397 соседи к 12.09</t>
  </si>
  <si>
    <t>03.09.2025</t>
  </si>
  <si>
    <t>Оля тайцы четверг</t>
  </si>
  <si>
    <t>07.09.2025</t>
  </si>
  <si>
    <t>Еженедельный покос 14</t>
  </si>
  <si>
    <t>08.09.2025</t>
  </si>
  <si>
    <t>Антон Пески Еженедельный покос 7</t>
  </si>
  <si>
    <t>13.09.2025</t>
  </si>
  <si>
    <t>Фаворит 3 Алексей</t>
  </si>
  <si>
    <t>14.09.2025</t>
  </si>
  <si>
    <t>Лора</t>
  </si>
  <si>
    <t>17.09.2025</t>
  </si>
  <si>
    <t>Еженедельный покос 15</t>
  </si>
  <si>
    <t>22.09.2025</t>
  </si>
  <si>
    <t>Антон Пески Еженедельный покос 8</t>
  </si>
  <si>
    <t>Владимир Михайловская Еженедельный покос 6</t>
  </si>
  <si>
    <t>29.09.2025</t>
  </si>
  <si>
    <t>Еженедельный покос 16</t>
  </si>
  <si>
    <t>30.09.2025</t>
  </si>
  <si>
    <t>Парадная 34а 3 раз</t>
  </si>
  <si>
    <t>02.10.2025</t>
  </si>
  <si>
    <t>09.10.2025</t>
  </si>
  <si>
    <t>Катриша</t>
  </si>
  <si>
    <t>30.10.2025</t>
  </si>
  <si>
    <t>100 участок фаворит</t>
  </si>
  <si>
    <t>ИТОГО 2025</t>
  </si>
  <si>
    <t>💸 УЧЁТ РАСХОДОВ — ПОКОС (все чеки)</t>
  </si>
  <si>
    <t>Все расходы по чекам</t>
  </si>
  <si>
    <t>Наименование</t>
  </si>
  <si>
    <t>Категория</t>
  </si>
  <si>
    <t>06.07.2024</t>
  </si>
  <si>
    <t>Триммер бензиновый NOCORD NTG-52S</t>
  </si>
  <si>
    <t>Техника</t>
  </si>
  <si>
    <t>15.07.2024</t>
  </si>
  <si>
    <t>Газонокосилка (покупка)</t>
  </si>
  <si>
    <t>Смазка в редуктор</t>
  </si>
  <si>
    <t>Тех. жидкости / запчасти</t>
  </si>
  <si>
    <t>Масло 2Т</t>
  </si>
  <si>
    <t>Леска 30м</t>
  </si>
  <si>
    <t>Расходники</t>
  </si>
  <si>
    <t>14.07.2024</t>
  </si>
  <si>
    <t>Масло 4Т</t>
  </si>
  <si>
    <t>Паук (насадка)</t>
  </si>
  <si>
    <t>Канистра 5л</t>
  </si>
  <si>
    <t>29.07.2024</t>
  </si>
  <si>
    <t>Респиратор</t>
  </si>
  <si>
    <t>Перчатки</t>
  </si>
  <si>
    <t>Комбинезоны</t>
  </si>
  <si>
    <t>Грабли</t>
  </si>
  <si>
    <t>Черенок</t>
  </si>
  <si>
    <t>25.08.2024</t>
  </si>
  <si>
    <t>Свеча</t>
  </si>
  <si>
    <t>Канистра 2л</t>
  </si>
  <si>
    <t>Топливо</t>
  </si>
  <si>
    <t>21.04.2025</t>
  </si>
  <si>
    <t>Очки защитные DOG Эксперт (желтые)</t>
  </si>
  <si>
    <t>Свеча зажигания DDE LR5YC (газонокосилка)</t>
  </si>
  <si>
    <t>Свечи Bosch WSR6F x2 (триммеры)</t>
  </si>
  <si>
    <t>Нож для газонокосилки Boxbot BM-46S</t>
  </si>
  <si>
    <t>Перчатки нейлоновые Gward Gray 12 пар</t>
  </si>
  <si>
    <t>Очки защитные DOG Expert (прозрачные)</t>
  </si>
  <si>
    <t>24.04.2025</t>
  </si>
  <si>
    <t>Нож для газонокосилки NOCORD NLG-46.144.S</t>
  </si>
  <si>
    <t>12.05.2025</t>
  </si>
  <si>
    <t>Смазка для редукторов ВМПАВТО МС-Ultra 50г</t>
  </si>
  <si>
    <t>Головка для триммера Boxbot BTH-101 x2</t>
  </si>
  <si>
    <t>Скарификатор электрический PATRIOT SCE 155</t>
  </si>
  <si>
    <t>Леска для триммера 4мм 15м витой квадрат</t>
  </si>
  <si>
    <t>Болт крепления ножа газонокосилки L-35мм</t>
  </si>
  <si>
    <t>Леска для триммера 4мм 30м витой квадрат</t>
  </si>
  <si>
    <t>29.05.2025</t>
  </si>
  <si>
    <t>Масло моторное 2Т ВМПАВТО 4л</t>
  </si>
  <si>
    <t>Ножницы-кусторез аккумуляторные Boxbot CGS-7</t>
  </si>
  <si>
    <t>Опрыскиватель садовый аккумуляторный 10л</t>
  </si>
  <si>
    <t>Масло DDE 4Т SAE 30, 1л</t>
  </si>
  <si>
    <t>Перчатки резиновые хозяйственные L x3 пары</t>
  </si>
  <si>
    <t>Канистра для смешивания бензина DDE 2л</t>
  </si>
  <si>
    <t>Леска для триммера 4мм 80м витой квадрат</t>
  </si>
  <si>
    <t>Ремень для триммера ранцевый DENZEL двухплечевой</t>
  </si>
  <si>
    <t>Триммер бензиновый Nocord NTG-52S (3й)</t>
  </si>
  <si>
    <t>Газонокосилка бензиновая Nocord NLG-51.170.S (2я)</t>
  </si>
  <si>
    <t>Смазка для редукторов ВМПАВТО Ultra-0 200г</t>
  </si>
  <si>
    <t>Чехол для газонокосилки 155х55х100 см</t>
  </si>
  <si>
    <t>Щиток защитный для лица сетчатый Champion</t>
  </si>
  <si>
    <t>30.06.2025</t>
  </si>
  <si>
    <t>Коннектор с аквастопом Plantic Light 1/2"</t>
  </si>
  <si>
    <t>Совок Plantic Light Ergo</t>
  </si>
  <si>
    <t>Ножницы для растений Plantic Light L62</t>
  </si>
  <si>
    <t>Пистолет-распылитель Plantic Light 8 режимов</t>
  </si>
  <si>
    <t>Масло DDE 4Т SAE 30, 1л x2</t>
  </si>
  <si>
    <t>28.07.2025</t>
  </si>
  <si>
    <t>Нож для газонокосилки PATRIOT MBS 520 (508мм)</t>
  </si>
  <si>
    <t>Крепления ножа газонокосилки L-35мм x2</t>
  </si>
  <si>
    <t>08.08.2025</t>
  </si>
  <si>
    <t>Масло для цепей бензопил ВМПАВТО 1л</t>
  </si>
  <si>
    <t>Масло Garden 4T 10W-30 ВМПАВТО полусинт. 1л</t>
  </si>
  <si>
    <t>Масло Garden 4T 5W-30 ВМПАВТО полусинт. 1л</t>
  </si>
  <si>
    <t>Бензиновая цепная пила Nocord NS-5820 58см3</t>
  </si>
  <si>
    <t>17.08.2025</t>
  </si>
  <si>
    <t>Праймер (подкачка) для бензокосы/триммера</t>
  </si>
  <si>
    <t>04.10.2025</t>
  </si>
  <si>
    <t>Леска для триммера 4мм MTX звезда 15м</t>
  </si>
  <si>
    <t>ИТОГО ВСЕ РАСХОДЫ</t>
  </si>
  <si>
    <t>Разбивка по категориям</t>
  </si>
  <si>
    <t>2024 (₽)</t>
  </si>
  <si>
    <t>2025 (₽)</t>
  </si>
  <si>
    <t>Итого</t>
  </si>
  <si>
    <t>ИТОГО</t>
  </si>
  <si>
    <t>🔧 УЧЁТ ПАРКА ТЕХНИКИ — ПОКОС</t>
  </si>
  <si>
    <t>Инвентарный список</t>
  </si>
  <si>
    <t>Кол-во</t>
  </si>
  <si>
    <t>Дата покупки</t>
  </si>
  <si>
    <t>Стоимость (₽)</t>
  </si>
  <si>
    <t>Статус</t>
  </si>
  <si>
    <t>Последнее ТО</t>
  </si>
  <si>
    <t>Примечание</t>
  </si>
  <si>
    <t>Газонокосилка #1 (Nocord NLG-46.144. S)</t>
  </si>
  <si>
    <t>Газонокосилка #2 (Nocord NLG-51.170.S)</t>
  </si>
  <si>
    <t>июн.2025</t>
  </si>
  <si>
    <t>Триммер #1 (NOCORD NTG-52S)</t>
  </si>
  <si>
    <t>июл.2024</t>
  </si>
  <si>
    <t>Триммер #2 (NOCORD NTG-52S)</t>
  </si>
  <si>
    <t>Триммер #3 (NOCORD NTG-52S)</t>
  </si>
  <si>
    <t>Скарификатор PATRIOT SCE 155</t>
  </si>
  <si>
    <t>май.2025</t>
  </si>
  <si>
    <t>Ножницы-кусторез Boxbot CGS-7</t>
  </si>
  <si>
    <t>Бензопила Nocord NS-5820</t>
  </si>
  <si>
    <t>авг.2025</t>
  </si>
  <si>
    <t>DAEWOO DABC 4ST (план.покупка, #1)</t>
  </si>
  <si>
    <t>план 2026</t>
  </si>
  <si>
    <t>DAEWOO DABC 420E электрозапуск (план.покупка, #2)</t>
  </si>
  <si>
    <t>График технического обслуживания</t>
  </si>
  <si>
    <t>Тип ТО</t>
  </si>
  <si>
    <t>🚀 ПЛАНЫ НА СЕЗОН 2025/2026 — ПОКОС</t>
  </si>
  <si>
    <t>Прогноз доходов</t>
  </si>
  <si>
    <t>Факт 2024</t>
  </si>
  <si>
    <t>Факт 2025</t>
  </si>
  <si>
    <t>План 2026</t>
  </si>
  <si>
    <t>Рост 2025 vs 2024</t>
  </si>
  <si>
    <t>Кол-во сделок</t>
  </si>
  <si>
    <t>Средняя сумма сделки</t>
  </si>
  <si>
    <t>ИТОГО ДОХОД (₽)</t>
  </si>
  <si>
    <t>Плановые расходы 2026</t>
  </si>
  <si>
    <t>Статья расходов</t>
  </si>
  <si>
    <t>Сумма (план)</t>
  </si>
  <si>
    <t>Приоритет</t>
  </si>
  <si>
    <t>Топливо (сезон)</t>
  </si>
  <si>
    <t>Операционный</t>
  </si>
  <si>
    <t>Тех. жидкости</t>
  </si>
  <si>
    <t>Свечи (вся техника)</t>
  </si>
  <si>
    <t>ТО</t>
  </si>
  <si>
    <t>Запчасти</t>
  </si>
  <si>
    <t>Ремонтный резерв</t>
  </si>
  <si>
    <t>Прочее</t>
  </si>
  <si>
    <t>Резерв</t>
  </si>
  <si>
    <t>Инвестиция</t>
  </si>
  <si>
    <t>Ремонт 3х триммеров NOCORD NTG-52S</t>
  </si>
  <si>
    <t>Сервис</t>
  </si>
  <si>
    <t>ИТОГО РАСХОДЫ (план 2026)</t>
  </si>
  <si>
    <t>Итог прогноза 2026</t>
  </si>
  <si>
    <t>Плановый доход</t>
  </si>
  <si>
    <t>Плановые расходы</t>
  </si>
  <si>
    <t>ПЛАНОВАЯ ПРИБЫЛЬ 2026</t>
  </si>
  <si>
    <t>📋 Задачи на новый сезон</t>
  </si>
  <si>
    <t>✅ Добавлены расходы 2025 из чеков Яндекс Маркет</t>
  </si>
  <si>
    <t>⬜ Добавить прочие расходы 2025 (если есть офлайн-чеки)</t>
  </si>
  <si>
    <t>⬜ Пройти ТО всей техники (масла, смазки, свечи) перед сезоном</t>
  </si>
  <si>
    <t>⬜ Сформировать прайс-лист на сезон 2026</t>
  </si>
  <si>
    <t>⬜ Настроить автоэкспорт сделок из Битрикс</t>
  </si>
  <si>
    <t>Удобрения</t>
  </si>
  <si>
    <t xml:space="preserve">ВМПАВТО garden, 4t 10W-30 Масло моторное, Полусинтетическое, 4 л </t>
  </si>
  <si>
    <t>Масло моторное 2Т для бензопил и садовой техники ВМПАВТО, 4 л</t>
  </si>
  <si>
    <t>Масло для цепей бензопил и электропил 4 л</t>
  </si>
  <si>
    <t>Смазка для обслуживания электроинструмента Ultra-1 200 г</t>
  </si>
  <si>
    <t>Смазка для редукторов электроинструмента Ultra-0 200 г</t>
  </si>
  <si>
    <t>Нож для газонокосилки PATRIOT MBS 520 для газонокосилок</t>
  </si>
  <si>
    <t xml:space="preserve">Леска для триммера 4мм (200 метров) витой квадрат с жилой корд </t>
  </si>
  <si>
    <t xml:space="preserve">FISKARS Сучкорез плоскостной L38 SingleStep, большой (1001426) </t>
  </si>
  <si>
    <t>Инструмент</t>
  </si>
  <si>
    <t>Секатор садовый Plantic L63 25263-01</t>
  </si>
  <si>
    <t xml:space="preserve">Перчатки нейлоновые с полиуретановым покрытием, рабочие, хозяйственные Gward Grey PU1001 серого цвета, размер 9 (L), 12 пар </t>
  </si>
  <si>
    <t>Оснастка</t>
  </si>
  <si>
    <t>Маска защитная для работы с триммером 2 шт.</t>
  </si>
  <si>
    <t>Очки поляризационные</t>
  </si>
  <si>
    <t>Катушка для триммера "Паук" универсальная TORGWIN 2 шт.</t>
  </si>
  <si>
    <t>Мешки для строительного мусора 55х105 см, 100 шт, белые</t>
  </si>
  <si>
    <t>Бензиновая коса с усиленным диском DAEWOO DABC 560</t>
  </si>
  <si>
    <t>Высокий</t>
  </si>
  <si>
    <t>Средний</t>
  </si>
  <si>
    <t>Низкий</t>
  </si>
  <si>
    <t>🔵 Синий = цена (можно изменить)</t>
  </si>
  <si>
    <t>💡  СКИДКИ: от 5 000 ₽ — выезд бесплатно   |   от 10 000 ₽ — скидка 5%   |   Абонемент на сезон — скидка 15%   |   Постоянным клиентам — бонусная премия</t>
  </si>
  <si>
    <t>← Сумма по заказу</t>
  </si>
  <si>
    <t>ИТОГО К ОПЛАТЕ</t>
  </si>
  <si>
    <t>~900 ₽ доломитовая мука + 700 ₽ работа. Рекомендуется раз в 3 года</t>
  </si>
  <si>
    <t>соток</t>
  </si>
  <si>
    <t>Известкование (раскисление почвы)</t>
  </si>
  <si>
    <t>Сначала аэрация, затем внесение — максимальное усвоение</t>
  </si>
  <si>
    <t>Аэрация + удобрение (комплекс)</t>
  </si>
  <si>
    <t>~700 ₽ удобрение + 700 ₽ работа. Стимуляция роста и цвета</t>
  </si>
  <si>
    <t>Летняя азотная подкормка</t>
  </si>
  <si>
    <t>~1 100 ₽ минер. удобрение + 700 ₽ работа. NPK + микроэлементы</t>
  </si>
  <si>
    <t>Удобрение газона (весна/осень, комплекс)</t>
  </si>
  <si>
    <t>🌱  УДОБРЕНИЕ И ПИТАНИЕ ГАЗОНА</t>
  </si>
  <si>
    <t>Полив, прополка, подкормка — ежемесячно</t>
  </si>
  <si>
    <t>м²/мес</t>
  </si>
  <si>
    <t>Комплексный уход за клумбой (сезон)</t>
  </si>
  <si>
    <t>Перекопка, удаление сорняков, внесение удобрений</t>
  </si>
  <si>
    <t>м²</t>
  </si>
  <si>
    <t>Подготовка клумбы под посадку</t>
  </si>
  <si>
    <t>Прополка + укладка мульчи 5–7 см (мульча включена)</t>
  </si>
  <si>
    <t>Прополка клумбы + мульчирование</t>
  </si>
  <si>
    <t>Тщательная прополка, рыхление между растениями</t>
  </si>
  <si>
    <t>Прополка клумбы (ручная)</t>
  </si>
  <si>
    <t>Туи, сирень, боярышник. Включая разметку ряда</t>
  </si>
  <si>
    <t>шт</t>
  </si>
  <si>
    <t>Посадка крупного кустарника / живая изгородь</t>
  </si>
  <si>
    <t>Включая яму, дренаж, полив после посадки</t>
  </si>
  <si>
    <t>Посадка кустарника (средний, 0.5–1.5 м)</t>
  </si>
  <si>
    <t>Посадка с подготовкой ямы и удобрением</t>
  </si>
  <si>
    <t>Посадка кустарника (малый, до 0.5 м)</t>
  </si>
  <si>
    <t>Розы, хосты, пионы и др. Без стоимости растений</t>
  </si>
  <si>
    <t>Посадка многолетних цветов</t>
  </si>
  <si>
    <t>Петунии, бегонии, бархатцы и др. Без стоимости растений</t>
  </si>
  <si>
    <t>Посадка однолетних цветов (клумба)</t>
  </si>
  <si>
    <t>🌸  ПОСАДКА РАСТЕНИЙ И УХОД ЗА КЛУМБАМИ</t>
  </si>
  <si>
    <t>Формирующая обрезка</t>
  </si>
  <si>
    <t>Обрезка кустарников</t>
  </si>
  <si>
    <t>Включая засыпку ямы</t>
  </si>
  <si>
    <t>Выкорчёвывание пня / туй</t>
  </si>
  <si>
    <t>Средние деревья, сложная разборка</t>
  </si>
  <si>
    <t>Спил дерева (5–10 м)</t>
  </si>
  <si>
    <t>Ствол до 30 см. Ветки укладываем на месте</t>
  </si>
  <si>
    <t>Спил дерева (до 5 м)</t>
  </si>
  <si>
    <t>🌳  ДЕРЕВЬЯ И КУСТАРНИКИ</t>
  </si>
  <si>
    <t>Гербицид/мойка твёрдых поверхностей</t>
  </si>
  <si>
    <t>Обработка парковки/твёрдых покрытий</t>
  </si>
  <si>
    <t>Акарицид, сезонная защита</t>
  </si>
  <si>
    <t>Обработка от клещей</t>
  </si>
  <si>
    <t>Химическая обработка от сорняков</t>
  </si>
  <si>
    <t>Обработка гербицидом (сорняки)</t>
  </si>
  <si>
    <t>🧪  ОБРАБОТКИ</t>
  </si>
  <si>
    <t>Грубое выравнивание рельефа</t>
  </si>
  <si>
    <t>Разравнивание участка</t>
  </si>
  <si>
    <t>Только работа, семена заказчика</t>
  </si>
  <si>
    <t>Засеивание (без семян)</t>
  </si>
  <si>
    <t>Посев газона</t>
  </si>
  <si>
    <t>Механическое рыхление почвы</t>
  </si>
  <si>
    <t>Культивация / рыхление</t>
  </si>
  <si>
    <t>Тщательная ручная прополка</t>
  </si>
  <si>
    <t>Прополка сорняков (ручная)</t>
  </si>
  <si>
    <t>Прокалывание почвы</t>
  </si>
  <si>
    <t>Аэрация газона</t>
  </si>
  <si>
    <t>Прочёсывание дёрна, улучшение аэрации</t>
  </si>
  <si>
    <t>Скарификация газона</t>
  </si>
  <si>
    <t>🌿  ГАЗОН И ПОЧВА</t>
  </si>
  <si>
    <t>Уборка участка (генеральная)</t>
  </si>
  <si>
    <t>Сбор в мешки, вывоз опционально</t>
  </si>
  <si>
    <t>Сбор листьев (осень)</t>
  </si>
  <si>
    <t>Погрузка + вывоз. Объём до 1 прицепа на 10 соток</t>
  </si>
  <si>
    <t>Вывоз травы / мусора</t>
  </si>
  <si>
    <t>Ручной сбор в мешки после покоса</t>
  </si>
  <si>
    <t>Сбор скошенной травы</t>
  </si>
  <si>
    <t>🍃  УБОРКА И ВЫВОЗ</t>
  </si>
  <si>
    <t>Скидка ~15% от разового тарифа</t>
  </si>
  <si>
    <t>соток/мес</t>
  </si>
  <si>
    <t>Еженедельное обслуживание (абонемент)</t>
  </si>
  <si>
    <t>Погонный метр обочины/периметра</t>
  </si>
  <si>
    <t>п.м.</t>
  </si>
  <si>
    <t>Покос вдоль забора / обочина</t>
  </si>
  <si>
    <t>Спец. защита, доп. средства</t>
  </si>
  <si>
    <t>Покос борщевика</t>
  </si>
  <si>
    <t>Очень высокая или плотная трава</t>
  </si>
  <si>
    <t>Сильно запущенный (&gt;60 см)</t>
  </si>
  <si>
    <t>Высокая трава, доп. усилие</t>
  </si>
  <si>
    <t>Запущенный покос (30–60 см)</t>
  </si>
  <si>
    <t>Трава до 30 см. Цена за 1 сотку</t>
  </si>
  <si>
    <t>Стандартный покос</t>
  </si>
  <si>
    <t>🌾  ПОКОС ТРАВЫ</t>
  </si>
  <si>
    <t>Сумма (₽)</t>
  </si>
  <si>
    <t>КОЛ-ВО ✏️</t>
  </si>
  <si>
    <t>Мин. объём</t>
  </si>
  <si>
    <t>Цена (₽)</t>
  </si>
  <si>
    <t>Ед. изм.</t>
  </si>
  <si>
    <t>Услуга / Товар</t>
  </si>
  <si>
    <t>№</t>
  </si>
  <si>
    <t>Введите количество в колонку «Кол-во» — итог посчитается автоматически</t>
  </si>
  <si>
    <t>🌿  ПРАЙС-ЛИСТ — УСЛУГИ ПОКОСА И БЛАГОУСТРОЙСТВА</t>
  </si>
  <si>
    <t>📞  По всем вопросам и для уточнения стоимости — свяжитесь с менеджером</t>
  </si>
  <si>
    <t>от 1</t>
  </si>
  <si>
    <t>от 3</t>
  </si>
  <si>
    <t>от 2</t>
  </si>
  <si>
    <t>от 5</t>
  </si>
  <si>
    <t>от 10</t>
  </si>
  <si>
    <t>от 20</t>
  </si>
  <si>
    <t>Наименование услуги</t>
  </si>
  <si>
    <t>Цены действительны на 2026 год. Стоимость выезда включена при заказе от 5 000 ₽.</t>
  </si>
  <si>
    <t>🌿  ПРАЙС-ЛИСТ — ОФИЦИАЛЬНЫЙ (для клиента)</t>
  </si>
  <si>
    <t>📅 2026 ГОД</t>
  </si>
  <si>
    <t>ИТОГО 2026</t>
  </si>
  <si>
    <t>Рабочая</t>
  </si>
  <si>
    <t>Неисправна</t>
  </si>
  <si>
    <t>Рабочие</t>
  </si>
  <si>
    <t>Рабочий</t>
  </si>
  <si>
    <t>Обслужить</t>
  </si>
  <si>
    <t>Комплекс: трава+ветки+деревья</t>
  </si>
  <si>
    <t>Посев + полив (семена не включены)</t>
  </si>
  <si>
    <t>WORTEX Разбрасыватель/сеялка, 12 литров, ширина 45 см</t>
  </si>
  <si>
    <t>Наработка (м/ч)</t>
  </si>
  <si>
    <t>Новая (план.покупка)</t>
  </si>
  <si>
    <t xml:space="preserve">Цепь пильная PATRIOT Professonal 21LP-76E (0,325"; 1,5 мм; 76 звеньев) </t>
  </si>
  <si>
    <t>Счетчик моточасов двигателя</t>
  </si>
  <si>
    <t>Реклама</t>
  </si>
  <si>
    <t>Хостинг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</si>
</sst>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#,##0\ \₽;\(#,##0\ \₽\);\-"/>
    <numFmt numFmtId="165" formatCode="0.0%"/>
    <numFmt numFmtId="166" formatCode="#,##0&quot; ₽&quot;"/>
  </numFmts>
  <fonts count="3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88888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color rgb="FFFFFFFF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1"/>
    </font>
    <font>
      <sz val="8"/>
      <color rgb="FF0000CC"/>
      <name val="Arial"/>
      <family val="2"/>
      <charset val="204"/>
    </font>
    <font>
      <i/>
      <sz val="9"/>
      <color rgb="FF1B3A5C"/>
      <name val="Arial"/>
      <family val="2"/>
      <charset val="204"/>
    </font>
    <font>
      <i/>
      <sz val="9"/>
      <color rgb="FFAAAAAA"/>
      <name val="Arial"/>
      <family val="2"/>
      <charset val="204"/>
    </font>
    <font>
      <b/>
      <sz val="14"/>
      <color rgb="FFFFFFFF"/>
      <name val="Arial"/>
      <family val="2"/>
      <charset val="204"/>
    </font>
    <font>
      <i/>
      <sz val="8"/>
      <color rgb="FF666666"/>
      <name val="Arial"/>
      <family val="2"/>
      <charset val="204"/>
    </font>
    <font>
      <b/>
      <sz val="10"/>
      <color rgb="FF1B3A5C"/>
      <name val="Arial"/>
      <family val="2"/>
      <charset val="204"/>
    </font>
    <font>
      <b/>
      <sz val="11"/>
      <color rgb="FF333333"/>
      <name val="Arial"/>
      <family val="2"/>
      <charset val="204"/>
    </font>
    <font>
      <sz val="9"/>
      <color rgb="FF888888"/>
      <name val="Arial"/>
      <family val="2"/>
      <charset val="204"/>
    </font>
    <font>
      <b/>
      <sz val="10"/>
      <color rgb="FF0000CC"/>
      <name val="Arial"/>
      <family val="2"/>
      <charset val="204"/>
    </font>
    <font>
      <sz val="10"/>
      <color rgb="FF555555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i/>
      <sz val="10"/>
      <color rgb="FF888888"/>
      <name val="Arial"/>
      <family val="2"/>
      <charset val="204"/>
    </font>
    <font>
      <b/>
      <sz val="16"/>
      <color rgb="FFFFFFFF"/>
      <name val="Arial"/>
      <family val="2"/>
      <charset val="204"/>
    </font>
    <font>
      <i/>
      <sz val="9"/>
      <color rgb="FF777777"/>
      <name val="Arial"/>
      <family val="2"/>
      <charset val="204"/>
    </font>
    <font>
      <b/>
      <sz val="15"/>
      <color rgb="FFFFFFFF"/>
      <name val="Arial"/>
      <family val="2"/>
      <charset val="204"/>
    </font>
    <font>
      <b/>
      <sz val="10"/>
      <name val="Arial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4A7C59"/>
      </patternFill>
    </fill>
    <fill>
      <patternFill patternType="solid">
        <fgColor rgb="FFF2F2F2"/>
      </patternFill>
    </fill>
    <fill>
      <patternFill patternType="solid">
        <fgColor rgb="FFC07A2E"/>
      </patternFill>
    </fill>
    <fill>
      <patternFill patternType="solid">
        <fgColor rgb="FF5B8A6A"/>
      </patternFill>
    </fill>
    <fill>
      <patternFill patternType="solid">
        <fgColor rgb="FFFFF3CD"/>
      </patternFill>
    </fill>
    <fill>
      <patternFill patternType="solid">
        <fgColor rgb="FFEAF4EA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FFAEC"/>
      </patternFill>
    </fill>
    <fill>
      <patternFill patternType="solid">
        <fgColor rgb="FFEDFAF2"/>
      </patternFill>
    </fill>
    <fill>
      <patternFill patternType="solid">
        <fgColor rgb="FFE8F4FF"/>
      </patternFill>
    </fill>
    <fill>
      <patternFill patternType="solid">
        <fgColor rgb="FFFFE5CC"/>
      </patternFill>
    </fill>
    <fill>
      <patternFill patternType="solid">
        <fgColor rgb="FFD6EAF8"/>
      </patternFill>
    </fill>
    <fill>
      <patternFill patternType="solid">
        <fgColor rgb="FFC8E0F4"/>
      </patternFill>
    </fill>
    <fill>
      <patternFill patternType="solid">
        <fgColor rgb="FFF2F2F2"/>
      </patternFill>
    </fill>
    <fill>
      <patternFill patternType="solid">
        <fgColor rgb="FF2E405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AFE"/>
        <bgColor rgb="FFEBF5FB"/>
      </patternFill>
    </fill>
    <fill>
      <patternFill patternType="solid">
        <fgColor rgb="FFE8F5E9"/>
        <bgColor rgb="FFEBF5FB"/>
      </patternFill>
    </fill>
    <fill>
      <patternFill patternType="solid">
        <fgColor rgb="FF1B3A5C"/>
        <bgColor rgb="FF333333"/>
      </patternFill>
    </fill>
    <fill>
      <patternFill patternType="solid">
        <fgColor rgb="FF27AE60"/>
        <bgColor rgb="FF2E86AB"/>
      </patternFill>
    </fill>
    <fill>
      <patternFill patternType="solid">
        <fgColor rgb="FFFFFFFF"/>
        <bgColor rgb="FFF8F9FA"/>
      </patternFill>
    </fill>
    <fill>
      <patternFill patternType="solid">
        <fgColor rgb="FFFFF9C4"/>
        <bgColor rgb="FFE8F5E9"/>
      </patternFill>
    </fill>
    <fill>
      <patternFill patternType="solid">
        <fgColor rgb="FFEBF5FB"/>
        <bgColor rgb="FFE8F5E9"/>
      </patternFill>
    </fill>
    <fill>
      <patternFill patternType="solid">
        <fgColor rgb="FFAD1457"/>
        <bgColor rgb="FF800080"/>
      </patternFill>
    </fill>
    <fill>
      <patternFill patternType="solid">
        <fgColor rgb="FFC0392B"/>
        <bgColor rgb="FFAD1457"/>
      </patternFill>
    </fill>
    <fill>
      <patternFill patternType="solid">
        <fgColor rgb="FF7D3C98"/>
        <bgColor rgb="FF555555"/>
      </patternFill>
    </fill>
    <fill>
      <patternFill patternType="solid">
        <fgColor rgb="FFE67E22"/>
        <bgColor rgb="FFFF9900"/>
      </patternFill>
    </fill>
    <fill>
      <patternFill patternType="solid">
        <fgColor rgb="FF2E86AB"/>
        <bgColor rgb="FF008080"/>
      </patternFill>
    </fill>
    <fill>
      <patternFill patternType="solid">
        <fgColor rgb="FFF8F9FA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/>
      <top/>
      <bottom/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0" fontId="11" fillId="0" borderId="0"/>
  </cellStyleXfs>
  <cellXfs count="1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6" fillId="4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horizontal="left" vertical="center"/>
    </xf>
    <xf numFmtId="165" fontId="7" fillId="2" borderId="2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right" vertical="center"/>
    </xf>
    <xf numFmtId="164" fontId="5" fillId="8" borderId="2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left" vertical="center"/>
    </xf>
    <xf numFmtId="164" fontId="5" fillId="11" borderId="2" xfId="0" applyNumberFormat="1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left" vertical="center"/>
    </xf>
    <xf numFmtId="164" fontId="5" fillId="12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left" vertical="center"/>
    </xf>
    <xf numFmtId="164" fontId="5" fillId="9" borderId="2" xfId="0" applyNumberFormat="1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3" fontId="5" fillId="13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164" fontId="5" fillId="13" borderId="2" xfId="0" applyNumberFormat="1" applyFont="1" applyFill="1" applyBorder="1" applyAlignment="1">
      <alignment horizontal="right" vertical="center"/>
    </xf>
    <xf numFmtId="165" fontId="5" fillId="9" borderId="2" xfId="0" applyNumberFormat="1" applyFont="1" applyFill="1" applyBorder="1" applyAlignment="1">
      <alignment horizontal="right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5" fillId="0" borderId="2" xfId="0" applyFont="1" applyBorder="1" applyAlignment="1">
      <alignment horizontal="left" vertical="center"/>
    </xf>
    <xf numFmtId="17" fontId="5" fillId="4" borderId="2" xfId="0" applyNumberFormat="1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5" fillId="14" borderId="7" xfId="0" applyFont="1" applyFill="1" applyBorder="1" applyAlignment="1">
      <alignment horizontal="left" vertical="center"/>
    </xf>
    <xf numFmtId="0" fontId="5" fillId="14" borderId="7" xfId="0" applyFont="1" applyFill="1" applyBorder="1" applyAlignment="1">
      <alignment horizontal="center" vertical="center"/>
    </xf>
    <xf numFmtId="164" fontId="5" fillId="14" borderId="7" xfId="0" applyNumberFormat="1" applyFont="1" applyFill="1" applyBorder="1" applyAlignment="1">
      <alignment horizontal="right" vertical="center"/>
    </xf>
    <xf numFmtId="0" fontId="5" fillId="14" borderId="7" xfId="0" applyFont="1" applyFill="1" applyBorder="1" applyAlignment="1">
      <alignment horizontal="right" vertical="center"/>
    </xf>
    <xf numFmtId="0" fontId="5" fillId="15" borderId="7" xfId="0" applyFont="1" applyFill="1" applyBorder="1" applyAlignment="1">
      <alignment horizontal="left" vertical="center"/>
    </xf>
    <xf numFmtId="0" fontId="5" fillId="15" borderId="7" xfId="0" applyFont="1" applyFill="1" applyBorder="1" applyAlignment="1">
      <alignment horizontal="center" vertical="center"/>
    </xf>
    <xf numFmtId="164" fontId="5" fillId="15" borderId="7" xfId="0" applyNumberFormat="1" applyFont="1" applyFill="1" applyBorder="1" applyAlignment="1">
      <alignment horizontal="right" vertical="center"/>
    </xf>
    <xf numFmtId="0" fontId="5" fillId="16" borderId="7" xfId="0" applyFont="1" applyFill="1" applyBorder="1" applyAlignment="1">
      <alignment horizontal="left" vertical="center"/>
    </xf>
    <xf numFmtId="0" fontId="5" fillId="16" borderId="7" xfId="0" applyFont="1" applyFill="1" applyBorder="1" applyAlignment="1">
      <alignment horizontal="center" vertical="center"/>
    </xf>
    <xf numFmtId="164" fontId="5" fillId="16" borderId="7" xfId="0" applyNumberFormat="1" applyFont="1" applyFill="1" applyBorder="1" applyAlignment="1">
      <alignment horizontal="right" vertical="center"/>
    </xf>
    <xf numFmtId="164" fontId="5" fillId="14" borderId="7" xfId="0" applyNumberFormat="1" applyFont="1" applyFill="1" applyBorder="1" applyAlignment="1">
      <alignment horizontal="right" vertical="center"/>
    </xf>
    <xf numFmtId="164" fontId="6" fillId="17" borderId="2" xfId="0" applyNumberFormat="1" applyFont="1" applyFill="1" applyBorder="1" applyAlignment="1">
      <alignment horizontal="right"/>
    </xf>
    <xf numFmtId="0" fontId="5" fillId="17" borderId="7" xfId="0" applyFont="1" applyFill="1" applyBorder="1" applyAlignment="1">
      <alignment horizontal="left" vertical="center"/>
    </xf>
    <xf numFmtId="164" fontId="5" fillId="17" borderId="7" xfId="0" applyNumberFormat="1" applyFont="1" applyFill="1" applyBorder="1" applyAlignment="1">
      <alignment horizontal="right" vertical="center"/>
    </xf>
    <xf numFmtId="0" fontId="6" fillId="18" borderId="7" xfId="0" applyFont="1" applyFill="1" applyBorder="1" applyAlignment="1">
      <alignment horizontal="left" vertical="center"/>
    </xf>
    <xf numFmtId="164" fontId="8" fillId="18" borderId="0" xfId="0" applyNumberFormat="1" applyFont="1" applyFill="1" applyAlignment="1">
      <alignment horizontal="right"/>
    </xf>
    <xf numFmtId="0" fontId="0" fillId="0" borderId="0" xfId="0"/>
    <xf numFmtId="0" fontId="0" fillId="0" borderId="0" xfId="0"/>
    <xf numFmtId="0" fontId="5" fillId="19" borderId="7" xfId="0" applyFont="1" applyFill="1" applyBorder="1" applyAlignment="1">
      <alignment horizontal="left" vertical="center" wrapText="1"/>
    </xf>
    <xf numFmtId="0" fontId="5" fillId="19" borderId="7" xfId="0" applyFont="1" applyFill="1" applyBorder="1" applyAlignment="1">
      <alignment horizontal="left" vertical="center"/>
    </xf>
    <xf numFmtId="44" fontId="5" fillId="19" borderId="7" xfId="1" applyFont="1" applyFill="1" applyBorder="1" applyAlignment="1">
      <alignment horizontal="left" vertical="center"/>
    </xf>
    <xf numFmtId="44" fontId="5" fillId="19" borderId="7" xfId="1" applyFont="1" applyFill="1" applyBorder="1" applyAlignment="1">
      <alignment horizontal="right" vertical="center"/>
    </xf>
    <xf numFmtId="164" fontId="5" fillId="17" borderId="7" xfId="0" applyNumberFormat="1" applyFont="1" applyFill="1" applyBorder="1" applyAlignment="1">
      <alignment horizontal="left" vertical="center"/>
    </xf>
    <xf numFmtId="0" fontId="5" fillId="14" borderId="7" xfId="0" applyFont="1" applyFill="1" applyBorder="1" applyAlignment="1">
      <alignment horizontal="left" vertical="center" wrapText="1"/>
    </xf>
    <xf numFmtId="0" fontId="5" fillId="20" borderId="7" xfId="0" applyFont="1" applyFill="1" applyBorder="1" applyAlignment="1">
      <alignment vertical="center" wrapText="1"/>
    </xf>
    <xf numFmtId="0" fontId="5" fillId="20" borderId="7" xfId="0" applyFont="1" applyFill="1" applyBorder="1" applyAlignment="1">
      <alignment horizontal="left" vertical="center" wrapText="1"/>
    </xf>
    <xf numFmtId="164" fontId="5" fillId="20" borderId="7" xfId="0" applyNumberFormat="1" applyFont="1" applyFill="1" applyBorder="1" applyAlignment="1">
      <alignment horizontal="right" vertical="center"/>
    </xf>
    <xf numFmtId="0" fontId="5" fillId="20" borderId="7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49" fontId="10" fillId="19" borderId="7" xfId="0" applyNumberFormat="1" applyFont="1" applyFill="1" applyBorder="1" applyAlignment="1">
      <alignment horizontal="left" vertical="center"/>
    </xf>
    <xf numFmtId="0" fontId="10" fillId="19" borderId="7" xfId="0" applyFont="1" applyFill="1" applyBorder="1" applyAlignment="1">
      <alignment horizontal="left" vertical="center"/>
    </xf>
    <xf numFmtId="0" fontId="5" fillId="21" borderId="7" xfId="0" applyFont="1" applyFill="1" applyBorder="1" applyAlignment="1">
      <alignment horizontal="left" vertical="center" wrapText="1"/>
    </xf>
    <xf numFmtId="0" fontId="0" fillId="21" borderId="0" xfId="0" applyFill="1"/>
    <xf numFmtId="0" fontId="5" fillId="21" borderId="7" xfId="0" applyFont="1" applyFill="1" applyBorder="1" applyAlignment="1">
      <alignment horizontal="left" vertical="center"/>
    </xf>
    <xf numFmtId="0" fontId="11" fillId="0" borderId="0" xfId="2"/>
    <xf numFmtId="0" fontId="11" fillId="0" borderId="8" xfId="2" applyBorder="1"/>
    <xf numFmtId="0" fontId="13" fillId="23" borderId="9" xfId="2" applyFont="1" applyFill="1" applyBorder="1" applyAlignment="1">
      <alignment horizontal="center" vertical="center"/>
    </xf>
    <xf numFmtId="166" fontId="15" fillId="25" borderId="10" xfId="2" applyNumberFormat="1" applyFont="1" applyFill="1" applyBorder="1" applyAlignment="1">
      <alignment horizontal="center" vertical="center"/>
    </xf>
    <xf numFmtId="0" fontId="16" fillId="26" borderId="7" xfId="2" applyFont="1" applyFill="1" applyBorder="1" applyAlignment="1">
      <alignment horizontal="left" vertical="center" wrapText="1"/>
    </xf>
    <xf numFmtId="166" fontId="17" fillId="26" borderId="7" xfId="2" applyNumberFormat="1" applyFont="1" applyFill="1" applyBorder="1" applyAlignment="1">
      <alignment horizontal="center" vertical="center"/>
    </xf>
    <xf numFmtId="3" fontId="18" fillId="27" borderId="10" xfId="2" applyNumberFormat="1" applyFont="1" applyFill="1" applyBorder="1" applyAlignment="1">
      <alignment horizontal="center" vertical="center"/>
    </xf>
    <xf numFmtId="3" fontId="19" fillId="26" borderId="7" xfId="2" applyNumberFormat="1" applyFont="1" applyFill="1" applyBorder="1" applyAlignment="1">
      <alignment horizontal="center" vertical="center"/>
    </xf>
    <xf numFmtId="3" fontId="20" fillId="26" borderId="7" xfId="2" applyNumberFormat="1" applyFont="1" applyFill="1" applyBorder="1" applyAlignment="1">
      <alignment horizontal="center" vertical="center"/>
    </xf>
    <xf numFmtId="0" fontId="21" fillId="26" borderId="7" xfId="2" applyFont="1" applyFill="1" applyBorder="1" applyAlignment="1">
      <alignment horizontal="center" vertical="center"/>
    </xf>
    <xf numFmtId="0" fontId="22" fillId="26" borderId="7" xfId="2" applyFont="1" applyFill="1" applyBorder="1" applyAlignment="1">
      <alignment horizontal="left" vertical="center" wrapText="1"/>
    </xf>
    <xf numFmtId="0" fontId="19" fillId="26" borderId="7" xfId="2" applyFont="1" applyFill="1" applyBorder="1" applyAlignment="1">
      <alignment horizontal="center" vertical="center"/>
    </xf>
    <xf numFmtId="0" fontId="16" fillId="28" borderId="7" xfId="2" applyFont="1" applyFill="1" applyBorder="1" applyAlignment="1">
      <alignment horizontal="left" vertical="center" wrapText="1"/>
    </xf>
    <xf numFmtId="166" fontId="17" fillId="28" borderId="7" xfId="2" applyNumberFormat="1" applyFont="1" applyFill="1" applyBorder="1" applyAlignment="1">
      <alignment horizontal="center" vertical="center"/>
    </xf>
    <xf numFmtId="3" fontId="19" fillId="28" borderId="7" xfId="2" applyNumberFormat="1" applyFont="1" applyFill="1" applyBorder="1" applyAlignment="1">
      <alignment horizontal="center" vertical="center"/>
    </xf>
    <xf numFmtId="3" fontId="20" fillId="28" borderId="7" xfId="2" applyNumberFormat="1" applyFont="1" applyFill="1" applyBorder="1" applyAlignment="1">
      <alignment horizontal="center" vertical="center"/>
    </xf>
    <xf numFmtId="0" fontId="21" fillId="28" borderId="7" xfId="2" applyFont="1" applyFill="1" applyBorder="1" applyAlignment="1">
      <alignment horizontal="center" vertical="center"/>
    </xf>
    <xf numFmtId="0" fontId="22" fillId="28" borderId="7" xfId="2" applyFont="1" applyFill="1" applyBorder="1" applyAlignment="1">
      <alignment horizontal="left" vertical="center" wrapText="1"/>
    </xf>
    <xf numFmtId="0" fontId="19" fillId="28" borderId="7" xfId="2" applyFont="1" applyFill="1" applyBorder="1" applyAlignment="1">
      <alignment horizontal="center" vertical="center"/>
    </xf>
    <xf numFmtId="0" fontId="24" fillId="33" borderId="7" xfId="2" applyFont="1" applyFill="1" applyBorder="1" applyAlignment="1">
      <alignment horizontal="center" vertical="center" wrapText="1"/>
    </xf>
    <xf numFmtId="166" fontId="20" fillId="26" borderId="7" xfId="2" applyNumberFormat="1" applyFont="1" applyFill="1" applyBorder="1" applyAlignment="1">
      <alignment horizontal="center" vertical="center"/>
    </xf>
    <xf numFmtId="166" fontId="20" fillId="28" borderId="7" xfId="2" applyNumberFormat="1" applyFont="1" applyFill="1" applyBorder="1" applyAlignment="1">
      <alignment horizontal="center" vertical="center"/>
    </xf>
    <xf numFmtId="0" fontId="5" fillId="35" borderId="2" xfId="0" applyFont="1" applyFill="1" applyBorder="1" applyAlignment="1">
      <alignment horizontal="left" vertical="center"/>
    </xf>
    <xf numFmtId="0" fontId="5" fillId="35" borderId="2" xfId="0" applyFont="1" applyFill="1" applyBorder="1" applyAlignment="1">
      <alignment horizontal="center" vertical="center"/>
    </xf>
    <xf numFmtId="164" fontId="5" fillId="35" borderId="2" xfId="0" applyNumberFormat="1" applyFont="1" applyFill="1" applyBorder="1" applyAlignment="1">
      <alignment horizontal="right" vertical="center"/>
    </xf>
    <xf numFmtId="0" fontId="3" fillId="36" borderId="1" xfId="0" applyFont="1" applyFill="1" applyBorder="1" applyAlignment="1">
      <alignment horizontal="center" vertical="center" wrapText="1"/>
    </xf>
    <xf numFmtId="0" fontId="10" fillId="19" borderId="7" xfId="0" applyFont="1" applyFill="1" applyBorder="1" applyAlignment="1">
      <alignment horizontal="left" vertical="center" wrapText="1"/>
    </xf>
    <xf numFmtId="0" fontId="5" fillId="37" borderId="2" xfId="0" applyFont="1" applyFill="1" applyBorder="1" applyAlignment="1">
      <alignment horizontal="left" vertical="center"/>
    </xf>
    <xf numFmtId="0" fontId="5" fillId="37" borderId="2" xfId="0" applyFont="1" applyFill="1" applyBorder="1" applyAlignment="1">
      <alignment horizontal="center" vertical="center"/>
    </xf>
    <xf numFmtId="164" fontId="5" fillId="37" borderId="2" xfId="0" applyNumberFormat="1" applyFont="1" applyFill="1" applyBorder="1" applyAlignment="1">
      <alignment horizontal="right" vertical="center"/>
    </xf>
    <xf numFmtId="0" fontId="5" fillId="10" borderId="2" xfId="0" applyNumberFormat="1" applyFont="1" applyFill="1" applyBorder="1" applyAlignment="1">
      <alignment horizontal="center" vertical="center"/>
    </xf>
    <xf numFmtId="0" fontId="5" fillId="7" borderId="2" xfId="0" applyNumberFormat="1" applyFont="1" applyFill="1" applyBorder="1" applyAlignment="1">
      <alignment horizontal="center" vertical="center"/>
    </xf>
    <xf numFmtId="0" fontId="5" fillId="11" borderId="2" xfId="0" applyNumberFormat="1" applyFont="1" applyFill="1" applyBorder="1" applyAlignment="1">
      <alignment horizontal="center" vertical="center"/>
    </xf>
    <xf numFmtId="14" fontId="5" fillId="37" borderId="2" xfId="0" applyNumberFormat="1" applyFont="1" applyFill="1" applyBorder="1" applyAlignment="1">
      <alignment horizontal="left" vertical="center"/>
    </xf>
    <xf numFmtId="0" fontId="26" fillId="24" borderId="0" xfId="2" applyFont="1" applyFill="1" applyAlignment="1">
      <alignment horizontal="center" vertical="center"/>
    </xf>
    <xf numFmtId="0" fontId="25" fillId="34" borderId="0" xfId="2" applyFont="1" applyFill="1" applyAlignment="1">
      <alignment horizontal="center" vertical="center"/>
    </xf>
    <xf numFmtId="0" fontId="23" fillId="25" borderId="9" xfId="2" applyFont="1" applyFill="1" applyBorder="1" applyAlignment="1">
      <alignment horizontal="left" vertical="center"/>
    </xf>
    <xf numFmtId="0" fontId="23" fillId="32" borderId="9" xfId="2" applyFont="1" applyFill="1" applyBorder="1" applyAlignment="1">
      <alignment horizontal="left" vertical="center"/>
    </xf>
    <xf numFmtId="0" fontId="23" fillId="31" borderId="9" xfId="2" applyFont="1" applyFill="1" applyBorder="1" applyAlignment="1">
      <alignment horizontal="left" vertical="center"/>
    </xf>
    <xf numFmtId="0" fontId="15" fillId="24" borderId="9" xfId="2" applyFont="1" applyFill="1" applyBorder="1" applyAlignment="1">
      <alignment horizontal="center" vertical="center"/>
    </xf>
    <xf numFmtId="0" fontId="15" fillId="24" borderId="8" xfId="2" applyFont="1" applyFill="1" applyBorder="1" applyAlignment="1">
      <alignment horizontal="center" vertical="center"/>
    </xf>
    <xf numFmtId="0" fontId="15" fillId="24" borderId="11" xfId="2" applyFont="1" applyFill="1" applyBorder="1" applyAlignment="1">
      <alignment horizontal="center" vertical="center"/>
    </xf>
    <xf numFmtId="0" fontId="14" fillId="24" borderId="9" xfId="2" applyFont="1" applyFill="1" applyBorder="1" applyAlignment="1">
      <alignment horizontal="center" vertical="center"/>
    </xf>
    <xf numFmtId="0" fontId="14" fillId="24" borderId="8" xfId="2" applyFont="1" applyFill="1" applyBorder="1" applyAlignment="1">
      <alignment horizontal="center" vertical="center"/>
    </xf>
    <xf numFmtId="0" fontId="12" fillId="22" borderId="12" xfId="2" applyFont="1" applyFill="1" applyBorder="1" applyAlignment="1">
      <alignment horizontal="center" vertical="center"/>
    </xf>
    <xf numFmtId="0" fontId="12" fillId="22" borderId="0" xfId="2" applyFont="1" applyFill="1" applyBorder="1" applyAlignment="1">
      <alignment horizontal="center" vertical="center"/>
    </xf>
    <xf numFmtId="0" fontId="23" fillId="30" borderId="9" xfId="2" applyFont="1" applyFill="1" applyBorder="1" applyAlignment="1">
      <alignment horizontal="left" vertical="center"/>
    </xf>
    <xf numFmtId="0" fontId="23" fillId="24" borderId="9" xfId="2" applyFont="1" applyFill="1" applyBorder="1" applyAlignment="1">
      <alignment horizontal="left" vertical="center"/>
    </xf>
    <xf numFmtId="0" fontId="23" fillId="29" borderId="9" xfId="2" applyFont="1" applyFill="1" applyBorder="1" applyAlignment="1">
      <alignment horizontal="left" vertical="center"/>
    </xf>
    <xf numFmtId="0" fontId="28" fillId="24" borderId="0" xfId="2" applyFont="1" applyFill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4" fillId="25" borderId="9" xfId="2" applyFont="1" applyFill="1" applyBorder="1" applyAlignment="1">
      <alignment horizontal="left" vertical="center"/>
    </xf>
    <xf numFmtId="0" fontId="24" fillId="32" borderId="9" xfId="2" applyFont="1" applyFill="1" applyBorder="1" applyAlignment="1">
      <alignment horizontal="left" vertical="center"/>
    </xf>
    <xf numFmtId="0" fontId="24" fillId="31" borderId="9" xfId="2" applyFont="1" applyFill="1" applyBorder="1" applyAlignment="1">
      <alignment horizontal="left" vertical="center"/>
    </xf>
    <xf numFmtId="0" fontId="17" fillId="23" borderId="9" xfId="2" applyFont="1" applyFill="1" applyBorder="1" applyAlignment="1">
      <alignment horizontal="center" vertical="center"/>
    </xf>
    <xf numFmtId="0" fontId="17" fillId="23" borderId="8" xfId="2" applyFont="1" applyFill="1" applyBorder="1" applyAlignment="1">
      <alignment horizontal="center" vertical="center"/>
    </xf>
    <xf numFmtId="0" fontId="24" fillId="30" borderId="9" xfId="2" applyFont="1" applyFill="1" applyBorder="1" applyAlignment="1">
      <alignment horizontal="left" vertical="center"/>
    </xf>
    <xf numFmtId="0" fontId="24" fillId="24" borderId="9" xfId="2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4" fillId="36" borderId="1" xfId="0" applyFont="1" applyFill="1" applyBorder="1" applyAlignment="1">
      <alignment horizontal="center" vertical="center" wrapText="1"/>
    </xf>
    <xf numFmtId="0" fontId="0" fillId="36" borderId="5" xfId="0" applyFill="1" applyBorder="1"/>
    <xf numFmtId="0" fontId="0" fillId="36" borderId="6" xfId="0" applyFill="1" applyBorder="1"/>
    <xf numFmtId="0" fontId="29" fillId="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6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</cellXfs>
  <cellStyles count="3">
    <cellStyle name="Денежный" xfId="1" builtinId="4"/>
    <cellStyle name="Обычный" xfId="0" builtinId="0"/>
    <cellStyle name="Обычный 2" xfId="2" xr:uid="{934BB24A-997F-4F1D-9C95-A4D5E44807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046;&#1091;&#1088;&#1085;&#1072;&#1083;_&#1091;&#1095;&#1077;&#1090;&#1072;_&#1058;&#1054;_&#1090;&#1077;&#1093;&#1085;&#1080;&#1082;&#1080;(2).xlsx" TargetMode="External"/><Relationship Id="rId1" Type="http://schemas.openxmlformats.org/officeDocument/2006/relationships/externalLinkPath" Target="/&#1046;&#1091;&#1088;&#1085;&#1072;&#1083;_&#1091;&#1095;&#1077;&#1090;&#1072;_&#1058;&#1054;_&#1090;&#1077;&#1093;&#1085;&#1080;&#1082;&#1080;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Журнал ТО"/>
      <sheetName val="Справочник"/>
      <sheetName val="Свод расходов"/>
    </sheetNames>
    <sheetDataSet>
      <sheetData sheetId="0">
        <row r="1">
          <cell r="F1" t="str">
            <v>Проведенные работы</v>
          </cell>
          <cell r="G1" t="str">
            <v>Запчасти / материалы</v>
          </cell>
          <cell r="H1" t="str">
            <v>Стоимость (₽)</v>
          </cell>
          <cell r="I1" t="str">
            <v>Кто выполнял</v>
          </cell>
          <cell r="J1" t="str">
            <v>Следующее ТО (дата/мч)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315B-6915-4288-B0BB-6BE073A03CEA}">
  <dimension ref="B1:I55"/>
  <sheetViews>
    <sheetView showGridLines="0" topLeftCell="A18" zoomScaleNormal="100" workbookViewId="0">
      <selection activeCell="E29" sqref="E29"/>
    </sheetView>
  </sheetViews>
  <sheetFormatPr defaultColWidth="8.7109375" defaultRowHeight="15" x14ac:dyDescent="0.25"/>
  <cols>
    <col min="1" max="1" width="2" style="77" customWidth="1"/>
    <col min="2" max="2" width="5" style="77" customWidth="1"/>
    <col min="3" max="3" width="32" style="77" customWidth="1"/>
    <col min="4" max="4" width="16" style="77" customWidth="1"/>
    <col min="5" max="8" width="14" style="77" customWidth="1"/>
    <col min="9" max="9" width="55.5703125" style="77" bestFit="1" customWidth="1"/>
    <col min="10" max="10" width="2" style="77" customWidth="1"/>
    <col min="11" max="16384" width="8.7109375" style="77"/>
  </cols>
  <sheetData>
    <row r="1" spans="2:9" ht="7.5" customHeight="1" x14ac:dyDescent="0.25"/>
    <row r="2" spans="2:9" ht="42" customHeight="1" x14ac:dyDescent="0.25">
      <c r="B2" s="111" t="s">
        <v>535</v>
      </c>
      <c r="C2" s="111"/>
      <c r="D2" s="111"/>
      <c r="E2" s="111"/>
      <c r="F2" s="111"/>
      <c r="G2" s="111"/>
      <c r="H2" s="111"/>
      <c r="I2" s="111"/>
    </row>
    <row r="3" spans="2:9" ht="19.5" customHeight="1" x14ac:dyDescent="0.25">
      <c r="B3" s="112" t="s">
        <v>534</v>
      </c>
      <c r="C3" s="112"/>
      <c r="D3" s="112"/>
      <c r="E3" s="112"/>
      <c r="F3" s="112"/>
      <c r="G3" s="112"/>
      <c r="H3" s="112"/>
      <c r="I3" s="112"/>
    </row>
    <row r="4" spans="2:9" ht="7.5" customHeight="1" x14ac:dyDescent="0.25"/>
    <row r="5" spans="2:9" ht="27.75" customHeight="1" thickBot="1" x14ac:dyDescent="0.3">
      <c r="B5" s="96" t="s">
        <v>533</v>
      </c>
      <c r="C5" s="96" t="s">
        <v>532</v>
      </c>
      <c r="D5" s="96" t="s">
        <v>531</v>
      </c>
      <c r="E5" s="96" t="s">
        <v>530</v>
      </c>
      <c r="F5" s="96" t="s">
        <v>529</v>
      </c>
      <c r="G5" s="96" t="s">
        <v>528</v>
      </c>
      <c r="H5" s="96" t="s">
        <v>527</v>
      </c>
      <c r="I5" s="96" t="s">
        <v>363</v>
      </c>
    </row>
    <row r="6" spans="2:9" ht="24" customHeight="1" thickBot="1" x14ac:dyDescent="0.3">
      <c r="B6" s="113" t="s">
        <v>526</v>
      </c>
      <c r="C6" s="113"/>
      <c r="D6" s="113"/>
      <c r="E6" s="113"/>
      <c r="F6" s="113"/>
      <c r="G6" s="113"/>
      <c r="H6" s="113"/>
      <c r="I6" s="113"/>
    </row>
    <row r="7" spans="2:9" ht="19.5" customHeight="1" thickBot="1" x14ac:dyDescent="0.3">
      <c r="B7" s="88">
        <v>1</v>
      </c>
      <c r="C7" s="87" t="s">
        <v>525</v>
      </c>
      <c r="D7" s="86" t="s">
        <v>443</v>
      </c>
      <c r="E7" s="85">
        <v>790</v>
      </c>
      <c r="F7" s="84">
        <v>1</v>
      </c>
      <c r="G7" s="83"/>
      <c r="H7" s="82" t="str">
        <f>IF(G7=0,"—",G7*E7)</f>
        <v>—</v>
      </c>
      <c r="I7" s="81" t="s">
        <v>524</v>
      </c>
    </row>
    <row r="8" spans="2:9" ht="19.5" customHeight="1" thickBot="1" x14ac:dyDescent="0.3">
      <c r="B8" s="95">
        <v>2</v>
      </c>
      <c r="C8" s="94" t="s">
        <v>523</v>
      </c>
      <c r="D8" s="93" t="s">
        <v>443</v>
      </c>
      <c r="E8" s="92">
        <v>950</v>
      </c>
      <c r="F8" s="91">
        <v>1</v>
      </c>
      <c r="G8" s="83"/>
      <c r="H8" s="90" t="str">
        <f>IF(G8=0,"—",G8*E8)</f>
        <v>—</v>
      </c>
      <c r="I8" s="89" t="s">
        <v>522</v>
      </c>
    </row>
    <row r="9" spans="2:9" ht="19.5" customHeight="1" thickBot="1" x14ac:dyDescent="0.3">
      <c r="B9" s="88">
        <v>3</v>
      </c>
      <c r="C9" s="87" t="s">
        <v>521</v>
      </c>
      <c r="D9" s="86" t="s">
        <v>443</v>
      </c>
      <c r="E9" s="85">
        <v>1200</v>
      </c>
      <c r="F9" s="84">
        <v>1</v>
      </c>
      <c r="G9" s="83"/>
      <c r="H9" s="82" t="str">
        <f>IF(G9=0,"—",G9*E9)</f>
        <v>—</v>
      </c>
      <c r="I9" s="81" t="s">
        <v>520</v>
      </c>
    </row>
    <row r="10" spans="2:9" ht="19.5" customHeight="1" thickBot="1" x14ac:dyDescent="0.3">
      <c r="B10" s="95">
        <v>4</v>
      </c>
      <c r="C10" s="94" t="s">
        <v>519</v>
      </c>
      <c r="D10" s="93" t="s">
        <v>443</v>
      </c>
      <c r="E10" s="92">
        <v>1300</v>
      </c>
      <c r="F10" s="91">
        <v>3</v>
      </c>
      <c r="G10" s="83"/>
      <c r="H10" s="90" t="str">
        <f>IF(G10=0,"—",G10*E10)</f>
        <v>—</v>
      </c>
      <c r="I10" s="89" t="s">
        <v>518</v>
      </c>
    </row>
    <row r="11" spans="2:9" ht="15.75" thickBot="1" x14ac:dyDescent="0.3">
      <c r="B11" s="88">
        <v>5</v>
      </c>
      <c r="C11" s="87" t="s">
        <v>517</v>
      </c>
      <c r="D11" s="86" t="s">
        <v>516</v>
      </c>
      <c r="E11" s="85">
        <v>50</v>
      </c>
      <c r="F11" s="84">
        <v>20</v>
      </c>
      <c r="G11" s="83"/>
      <c r="H11" s="82"/>
      <c r="I11" s="81" t="s">
        <v>515</v>
      </c>
    </row>
    <row r="12" spans="2:9" ht="26.25" thickBot="1" x14ac:dyDescent="0.3">
      <c r="B12" s="95">
        <v>6</v>
      </c>
      <c r="C12" s="94" t="s">
        <v>514</v>
      </c>
      <c r="D12" s="93" t="s">
        <v>513</v>
      </c>
      <c r="E12" s="92">
        <v>2800</v>
      </c>
      <c r="F12" s="91">
        <v>5</v>
      </c>
      <c r="G12" s="83"/>
      <c r="H12" s="90" t="str">
        <f>IF(G12=0,"—",G12*E12)</f>
        <v>—</v>
      </c>
      <c r="I12" s="89" t="s">
        <v>512</v>
      </c>
    </row>
    <row r="13" spans="2:9" ht="24" customHeight="1" thickBot="1" x14ac:dyDescent="0.3">
      <c r="B13" s="114" t="s">
        <v>511</v>
      </c>
      <c r="C13" s="114"/>
      <c r="D13" s="114"/>
      <c r="E13" s="114"/>
      <c r="F13" s="114"/>
      <c r="G13" s="114"/>
      <c r="H13" s="114"/>
      <c r="I13" s="114"/>
    </row>
    <row r="14" spans="2:9" ht="19.5" customHeight="1" thickBot="1" x14ac:dyDescent="0.3">
      <c r="B14" s="88">
        <v>7</v>
      </c>
      <c r="C14" s="87" t="s">
        <v>510</v>
      </c>
      <c r="D14" s="86" t="s">
        <v>443</v>
      </c>
      <c r="E14" s="85">
        <v>790</v>
      </c>
      <c r="F14" s="84">
        <v>1</v>
      </c>
      <c r="G14" s="83"/>
      <c r="H14" s="82" t="str">
        <f>IF(G14=0,"—",G14*E14)</f>
        <v>—</v>
      </c>
      <c r="I14" s="81" t="s">
        <v>509</v>
      </c>
    </row>
    <row r="15" spans="2:9" ht="19.5" customHeight="1" thickBot="1" x14ac:dyDescent="0.3">
      <c r="B15" s="95">
        <v>8</v>
      </c>
      <c r="C15" s="94" t="s">
        <v>508</v>
      </c>
      <c r="D15" s="93" t="s">
        <v>443</v>
      </c>
      <c r="E15" s="92">
        <v>350</v>
      </c>
      <c r="F15" s="91">
        <v>3</v>
      </c>
      <c r="G15" s="83"/>
      <c r="H15" s="90" t="str">
        <f>IF(G15=0,"—",G15*E15)</f>
        <v>—</v>
      </c>
      <c r="I15" s="89" t="s">
        <v>507</v>
      </c>
    </row>
    <row r="16" spans="2:9" ht="19.5" customHeight="1" thickBot="1" x14ac:dyDescent="0.3">
      <c r="B16" s="88">
        <v>9</v>
      </c>
      <c r="C16" s="87" t="s">
        <v>506</v>
      </c>
      <c r="D16" s="86" t="s">
        <v>443</v>
      </c>
      <c r="E16" s="85">
        <v>790</v>
      </c>
      <c r="F16" s="84">
        <v>2</v>
      </c>
      <c r="G16" s="83"/>
      <c r="H16" s="82" t="str">
        <f>IF(G16=0,"—",G16*E16)</f>
        <v>—</v>
      </c>
      <c r="I16" s="81" t="s">
        <v>505</v>
      </c>
    </row>
    <row r="17" spans="2:9" ht="15.75" thickBot="1" x14ac:dyDescent="0.3">
      <c r="B17" s="95">
        <v>10</v>
      </c>
      <c r="C17" s="94" t="s">
        <v>504</v>
      </c>
      <c r="D17" s="93" t="s">
        <v>443</v>
      </c>
      <c r="E17" s="92">
        <v>1500</v>
      </c>
      <c r="F17" s="91">
        <v>2</v>
      </c>
      <c r="G17" s="83"/>
      <c r="H17" s="90" t="str">
        <f>IF(G17=0,"—",G17*E17)</f>
        <v>—</v>
      </c>
      <c r="I17" s="89" t="s">
        <v>553</v>
      </c>
    </row>
    <row r="18" spans="2:9" ht="24" customHeight="1" thickBot="1" x14ac:dyDescent="0.3">
      <c r="B18" s="115" t="s">
        <v>503</v>
      </c>
      <c r="C18" s="115"/>
      <c r="D18" s="115"/>
      <c r="E18" s="115"/>
      <c r="F18" s="115"/>
      <c r="G18" s="115"/>
      <c r="H18" s="115"/>
      <c r="I18" s="115"/>
    </row>
    <row r="19" spans="2:9" ht="19.5" customHeight="1" thickBot="1" x14ac:dyDescent="0.3">
      <c r="B19" s="88">
        <v>11</v>
      </c>
      <c r="C19" s="87" t="s">
        <v>502</v>
      </c>
      <c r="D19" s="86" t="s">
        <v>443</v>
      </c>
      <c r="E19" s="85">
        <v>1000</v>
      </c>
      <c r="F19" s="84">
        <v>1</v>
      </c>
      <c r="G19" s="83"/>
      <c r="H19" s="82" t="str">
        <f t="shared" ref="H19:H25" si="0">IF(G19=0,"—",G19*E19)</f>
        <v>—</v>
      </c>
      <c r="I19" s="81" t="s">
        <v>501</v>
      </c>
    </row>
    <row r="20" spans="2:9" ht="19.5" customHeight="1" thickBot="1" x14ac:dyDescent="0.3">
      <c r="B20" s="95">
        <v>12</v>
      </c>
      <c r="C20" s="94" t="s">
        <v>500</v>
      </c>
      <c r="D20" s="93" t="s">
        <v>443</v>
      </c>
      <c r="E20" s="92">
        <v>1400</v>
      </c>
      <c r="F20" s="91">
        <v>1</v>
      </c>
      <c r="G20" s="83"/>
      <c r="H20" s="90" t="str">
        <f t="shared" si="0"/>
        <v>—</v>
      </c>
      <c r="I20" s="89" t="s">
        <v>499</v>
      </c>
    </row>
    <row r="21" spans="2:9" ht="19.5" customHeight="1" thickBot="1" x14ac:dyDescent="0.3">
      <c r="B21" s="88">
        <v>13</v>
      </c>
      <c r="C21" s="87" t="s">
        <v>498</v>
      </c>
      <c r="D21" s="86" t="s">
        <v>443</v>
      </c>
      <c r="E21" s="85">
        <v>1850</v>
      </c>
      <c r="F21" s="84">
        <v>1</v>
      </c>
      <c r="G21" s="83"/>
      <c r="H21" s="82" t="str">
        <f t="shared" si="0"/>
        <v>—</v>
      </c>
      <c r="I21" s="81" t="s">
        <v>497</v>
      </c>
    </row>
    <row r="22" spans="2:9" ht="19.5" customHeight="1" thickBot="1" x14ac:dyDescent="0.3">
      <c r="B22" s="95">
        <v>14</v>
      </c>
      <c r="C22" s="94" t="s">
        <v>496</v>
      </c>
      <c r="D22" s="93" t="s">
        <v>443</v>
      </c>
      <c r="E22" s="92">
        <v>1200</v>
      </c>
      <c r="F22" s="91">
        <v>2</v>
      </c>
      <c r="G22" s="83"/>
      <c r="H22" s="90" t="str">
        <f t="shared" si="0"/>
        <v>—</v>
      </c>
      <c r="I22" s="89" t="s">
        <v>495</v>
      </c>
    </row>
    <row r="23" spans="2:9" ht="19.5" customHeight="1" thickBot="1" x14ac:dyDescent="0.3">
      <c r="B23" s="88">
        <v>15</v>
      </c>
      <c r="C23" s="87" t="s">
        <v>494</v>
      </c>
      <c r="D23" s="86" t="s">
        <v>443</v>
      </c>
      <c r="E23" s="85">
        <v>2200</v>
      </c>
      <c r="F23" s="84">
        <v>1</v>
      </c>
      <c r="G23" s="83"/>
      <c r="H23" s="82" t="str">
        <f t="shared" si="0"/>
        <v>—</v>
      </c>
      <c r="I23" s="81" t="s">
        <v>554</v>
      </c>
    </row>
    <row r="24" spans="2:9" ht="19.5" customHeight="1" thickBot="1" x14ac:dyDescent="0.3">
      <c r="B24" s="95">
        <v>16</v>
      </c>
      <c r="C24" s="94" t="s">
        <v>493</v>
      </c>
      <c r="D24" s="93" t="s">
        <v>443</v>
      </c>
      <c r="E24" s="92">
        <v>1500</v>
      </c>
      <c r="F24" s="91">
        <v>1</v>
      </c>
      <c r="G24" s="83"/>
      <c r="H24" s="90" t="str">
        <f t="shared" si="0"/>
        <v>—</v>
      </c>
      <c r="I24" s="89" t="s">
        <v>492</v>
      </c>
    </row>
    <row r="25" spans="2:9" ht="19.5" customHeight="1" thickBot="1" x14ac:dyDescent="0.3">
      <c r="B25" s="88">
        <v>17</v>
      </c>
      <c r="C25" s="87" t="s">
        <v>491</v>
      </c>
      <c r="D25" s="86" t="s">
        <v>443</v>
      </c>
      <c r="E25" s="85">
        <v>1300</v>
      </c>
      <c r="F25" s="84">
        <v>2</v>
      </c>
      <c r="G25" s="83"/>
      <c r="H25" s="82" t="str">
        <f t="shared" si="0"/>
        <v>—</v>
      </c>
      <c r="I25" s="81" t="s">
        <v>490</v>
      </c>
    </row>
    <row r="26" spans="2:9" ht="24" customHeight="1" thickBot="1" x14ac:dyDescent="0.3">
      <c r="B26" s="123" t="s">
        <v>489</v>
      </c>
      <c r="C26" s="123"/>
      <c r="D26" s="123"/>
      <c r="E26" s="123"/>
      <c r="F26" s="123"/>
      <c r="G26" s="123"/>
      <c r="H26" s="123"/>
      <c r="I26" s="123"/>
    </row>
    <row r="27" spans="2:9" ht="19.5" customHeight="1" thickBot="1" x14ac:dyDescent="0.3">
      <c r="B27" s="95">
        <v>18</v>
      </c>
      <c r="C27" s="94" t="s">
        <v>488</v>
      </c>
      <c r="D27" s="93" t="s">
        <v>443</v>
      </c>
      <c r="E27" s="92">
        <v>550</v>
      </c>
      <c r="F27" s="91">
        <v>5</v>
      </c>
      <c r="G27" s="83"/>
      <c r="H27" s="90" t="str">
        <f>IF(G27=0,"—",G27*E27)</f>
        <v>—</v>
      </c>
      <c r="I27" s="89" t="s">
        <v>487</v>
      </c>
    </row>
    <row r="28" spans="2:9" ht="19.5" customHeight="1" thickBot="1" x14ac:dyDescent="0.3">
      <c r="B28" s="88">
        <v>19</v>
      </c>
      <c r="C28" s="87" t="s">
        <v>486</v>
      </c>
      <c r="D28" s="86" t="s">
        <v>443</v>
      </c>
      <c r="E28" s="85">
        <v>350</v>
      </c>
      <c r="F28" s="84">
        <v>10</v>
      </c>
      <c r="G28" s="83"/>
      <c r="H28" s="82" t="str">
        <f>IF(G28=0,"—",G28*E28)</f>
        <v>—</v>
      </c>
      <c r="I28" s="81" t="s">
        <v>485</v>
      </c>
    </row>
    <row r="29" spans="2:9" ht="26.25" thickBot="1" x14ac:dyDescent="0.3">
      <c r="B29" s="95">
        <v>20</v>
      </c>
      <c r="C29" s="94" t="s">
        <v>484</v>
      </c>
      <c r="D29" s="93" t="s">
        <v>456</v>
      </c>
      <c r="E29" s="92">
        <v>120</v>
      </c>
      <c r="F29" s="91">
        <v>20</v>
      </c>
      <c r="G29" s="83"/>
      <c r="H29" s="90" t="str">
        <f>IF(G29=0,"—",G29*E29)</f>
        <v>—</v>
      </c>
      <c r="I29" s="89" t="s">
        <v>483</v>
      </c>
    </row>
    <row r="30" spans="2:9" ht="24" customHeight="1" thickBot="1" x14ac:dyDescent="0.3">
      <c r="B30" s="124" t="s">
        <v>482</v>
      </c>
      <c r="C30" s="124"/>
      <c r="D30" s="124"/>
      <c r="E30" s="124"/>
      <c r="F30" s="124"/>
      <c r="G30" s="124"/>
      <c r="H30" s="124"/>
      <c r="I30" s="124"/>
    </row>
    <row r="31" spans="2:9" ht="19.5" customHeight="1" thickBot="1" x14ac:dyDescent="0.3">
      <c r="B31" s="88">
        <v>21</v>
      </c>
      <c r="C31" s="87" t="s">
        <v>481</v>
      </c>
      <c r="D31" s="86" t="s">
        <v>463</v>
      </c>
      <c r="E31" s="85">
        <v>2500</v>
      </c>
      <c r="F31" s="84">
        <v>1</v>
      </c>
      <c r="G31" s="83"/>
      <c r="H31" s="82" t="str">
        <f>IF(G31=0,"—",G31*E31)</f>
        <v>—</v>
      </c>
      <c r="I31" s="81" t="s">
        <v>480</v>
      </c>
    </row>
    <row r="32" spans="2:9" ht="19.5" customHeight="1" thickBot="1" x14ac:dyDescent="0.3">
      <c r="B32" s="95">
        <v>22</v>
      </c>
      <c r="C32" s="94" t="s">
        <v>479</v>
      </c>
      <c r="D32" s="93" t="s">
        <v>463</v>
      </c>
      <c r="E32" s="92">
        <v>4500</v>
      </c>
      <c r="F32" s="91">
        <v>1</v>
      </c>
      <c r="G32" s="83"/>
      <c r="H32" s="90" t="str">
        <f>IF(G32=0,"—",G32*E32)</f>
        <v>—</v>
      </c>
      <c r="I32" s="89" t="s">
        <v>478</v>
      </c>
    </row>
    <row r="33" spans="2:9" ht="19.5" customHeight="1" thickBot="1" x14ac:dyDescent="0.3">
      <c r="B33" s="88">
        <v>23</v>
      </c>
      <c r="C33" s="87" t="s">
        <v>477</v>
      </c>
      <c r="D33" s="86" t="s">
        <v>463</v>
      </c>
      <c r="E33" s="85">
        <v>3500</v>
      </c>
      <c r="F33" s="84">
        <v>1</v>
      </c>
      <c r="G33" s="83"/>
      <c r="H33" s="82" t="str">
        <f>IF(G33=0,"—",G33*E33)</f>
        <v>—</v>
      </c>
      <c r="I33" s="81" t="s">
        <v>476</v>
      </c>
    </row>
    <row r="34" spans="2:9" ht="19.5" customHeight="1" thickBot="1" x14ac:dyDescent="0.3">
      <c r="B34" s="95">
        <v>24</v>
      </c>
      <c r="C34" s="94" t="s">
        <v>475</v>
      </c>
      <c r="D34" s="93" t="s">
        <v>463</v>
      </c>
      <c r="E34" s="92">
        <v>400</v>
      </c>
      <c r="F34" s="91">
        <v>5</v>
      </c>
      <c r="G34" s="83"/>
      <c r="H34" s="90" t="str">
        <f>IF(G34=0,"—",G34*E34)</f>
        <v>—</v>
      </c>
      <c r="I34" s="89" t="s">
        <v>474</v>
      </c>
    </row>
    <row r="35" spans="2:9" ht="24" customHeight="1" thickBot="1" x14ac:dyDescent="0.3">
      <c r="B35" s="125" t="s">
        <v>473</v>
      </c>
      <c r="C35" s="125"/>
      <c r="D35" s="125"/>
      <c r="E35" s="125"/>
      <c r="F35" s="125"/>
      <c r="G35" s="125"/>
      <c r="H35" s="125"/>
      <c r="I35" s="125"/>
    </row>
    <row r="36" spans="2:9" ht="26.25" thickBot="1" x14ac:dyDescent="0.3">
      <c r="B36" s="88">
        <v>25</v>
      </c>
      <c r="C36" s="87" t="s">
        <v>472</v>
      </c>
      <c r="D36" s="86" t="s">
        <v>463</v>
      </c>
      <c r="E36" s="85">
        <v>250</v>
      </c>
      <c r="F36" s="84">
        <v>10</v>
      </c>
      <c r="G36" s="83"/>
      <c r="H36" s="82" t="str">
        <f t="shared" ref="H36:H44" si="1">IF(G36=0,"—",G36*E36)</f>
        <v>—</v>
      </c>
      <c r="I36" s="81" t="s">
        <v>471</v>
      </c>
    </row>
    <row r="37" spans="2:9" ht="19.5" customHeight="1" thickBot="1" x14ac:dyDescent="0.3">
      <c r="B37" s="95">
        <v>26</v>
      </c>
      <c r="C37" s="94" t="s">
        <v>470</v>
      </c>
      <c r="D37" s="93" t="s">
        <v>463</v>
      </c>
      <c r="E37" s="92">
        <v>380</v>
      </c>
      <c r="F37" s="91">
        <v>5</v>
      </c>
      <c r="G37" s="83"/>
      <c r="H37" s="90" t="str">
        <f t="shared" si="1"/>
        <v>—</v>
      </c>
      <c r="I37" s="89" t="s">
        <v>469</v>
      </c>
    </row>
    <row r="38" spans="2:9" ht="26.25" thickBot="1" x14ac:dyDescent="0.3">
      <c r="B38" s="88">
        <v>27</v>
      </c>
      <c r="C38" s="87" t="s">
        <v>468</v>
      </c>
      <c r="D38" s="86" t="s">
        <v>463</v>
      </c>
      <c r="E38" s="85">
        <v>900</v>
      </c>
      <c r="F38" s="84">
        <v>1</v>
      </c>
      <c r="G38" s="83"/>
      <c r="H38" s="82" t="str">
        <f t="shared" si="1"/>
        <v>—</v>
      </c>
      <c r="I38" s="81" t="s">
        <v>467</v>
      </c>
    </row>
    <row r="39" spans="2:9" ht="26.25" thickBot="1" x14ac:dyDescent="0.3">
      <c r="B39" s="95">
        <v>28</v>
      </c>
      <c r="C39" s="94" t="s">
        <v>466</v>
      </c>
      <c r="D39" s="93" t="s">
        <v>463</v>
      </c>
      <c r="E39" s="92">
        <v>1800</v>
      </c>
      <c r="F39" s="91">
        <v>1</v>
      </c>
      <c r="G39" s="83"/>
      <c r="H39" s="90" t="str">
        <f t="shared" si="1"/>
        <v>—</v>
      </c>
      <c r="I39" s="89" t="s">
        <v>465</v>
      </c>
    </row>
    <row r="40" spans="2:9" ht="26.25" thickBot="1" x14ac:dyDescent="0.3">
      <c r="B40" s="88">
        <v>29</v>
      </c>
      <c r="C40" s="87" t="s">
        <v>464</v>
      </c>
      <c r="D40" s="86" t="s">
        <v>463</v>
      </c>
      <c r="E40" s="85">
        <v>3200</v>
      </c>
      <c r="F40" s="84">
        <v>3</v>
      </c>
      <c r="G40" s="83"/>
      <c r="H40" s="82" t="str">
        <f t="shared" si="1"/>
        <v>—</v>
      </c>
      <c r="I40" s="81" t="s">
        <v>462</v>
      </c>
    </row>
    <row r="41" spans="2:9" ht="19.5" customHeight="1" thickBot="1" x14ac:dyDescent="0.3">
      <c r="B41" s="95">
        <v>30</v>
      </c>
      <c r="C41" s="94" t="s">
        <v>461</v>
      </c>
      <c r="D41" s="93" t="s">
        <v>456</v>
      </c>
      <c r="E41" s="92">
        <v>450</v>
      </c>
      <c r="F41" s="91">
        <v>2</v>
      </c>
      <c r="G41" s="83"/>
      <c r="H41" s="90" t="str">
        <f t="shared" si="1"/>
        <v>—</v>
      </c>
      <c r="I41" s="89" t="s">
        <v>460</v>
      </c>
    </row>
    <row r="42" spans="2:9" ht="26.25" thickBot="1" x14ac:dyDescent="0.3">
      <c r="B42" s="88">
        <v>31</v>
      </c>
      <c r="C42" s="87" t="s">
        <v>459</v>
      </c>
      <c r="D42" s="86" t="s">
        <v>456</v>
      </c>
      <c r="E42" s="85">
        <v>750</v>
      </c>
      <c r="F42" s="84">
        <v>2</v>
      </c>
      <c r="G42" s="83"/>
      <c r="H42" s="82" t="str">
        <f t="shared" si="1"/>
        <v>—</v>
      </c>
      <c r="I42" s="81" t="s">
        <v>458</v>
      </c>
    </row>
    <row r="43" spans="2:9" ht="19.5" customHeight="1" thickBot="1" x14ac:dyDescent="0.3">
      <c r="B43" s="95">
        <v>32</v>
      </c>
      <c r="C43" s="94" t="s">
        <v>457</v>
      </c>
      <c r="D43" s="93" t="s">
        <v>456</v>
      </c>
      <c r="E43" s="92">
        <v>600</v>
      </c>
      <c r="F43" s="91">
        <v>2</v>
      </c>
      <c r="G43" s="83"/>
      <c r="H43" s="90" t="str">
        <f t="shared" si="1"/>
        <v>—</v>
      </c>
      <c r="I43" s="89" t="s">
        <v>455</v>
      </c>
    </row>
    <row r="44" spans="2:9" ht="26.25" thickBot="1" x14ac:dyDescent="0.3">
      <c r="B44" s="88">
        <v>33</v>
      </c>
      <c r="C44" s="87" t="s">
        <v>454</v>
      </c>
      <c r="D44" s="86" t="s">
        <v>453</v>
      </c>
      <c r="E44" s="85">
        <v>1200</v>
      </c>
      <c r="F44" s="84">
        <v>3</v>
      </c>
      <c r="G44" s="83"/>
      <c r="H44" s="82" t="str">
        <f t="shared" si="1"/>
        <v>—</v>
      </c>
      <c r="I44" s="81" t="s">
        <v>452</v>
      </c>
    </row>
    <row r="45" spans="2:9" ht="24" customHeight="1" thickBot="1" x14ac:dyDescent="0.3">
      <c r="B45" s="113" t="s">
        <v>451</v>
      </c>
      <c r="C45" s="113"/>
      <c r="D45" s="113"/>
      <c r="E45" s="113"/>
      <c r="F45" s="113"/>
      <c r="G45" s="113"/>
      <c r="H45" s="113"/>
      <c r="I45" s="113"/>
    </row>
    <row r="46" spans="2:9" ht="26.25" thickBot="1" x14ac:dyDescent="0.3">
      <c r="B46" s="95">
        <v>34</v>
      </c>
      <c r="C46" s="94" t="s">
        <v>450</v>
      </c>
      <c r="D46" s="93" t="s">
        <v>443</v>
      </c>
      <c r="E46" s="92">
        <v>1800</v>
      </c>
      <c r="F46" s="91">
        <v>1</v>
      </c>
      <c r="G46" s="83"/>
      <c r="H46" s="90" t="str">
        <f>IF(G46=0,"—",G46*E46)</f>
        <v>—</v>
      </c>
      <c r="I46" s="89" t="s">
        <v>449</v>
      </c>
    </row>
    <row r="47" spans="2:9" ht="19.5" customHeight="1" thickBot="1" x14ac:dyDescent="0.3">
      <c r="B47" s="88">
        <v>35</v>
      </c>
      <c r="C47" s="87" t="s">
        <v>448</v>
      </c>
      <c r="D47" s="86" t="s">
        <v>443</v>
      </c>
      <c r="E47" s="85">
        <v>1400</v>
      </c>
      <c r="F47" s="84">
        <v>1</v>
      </c>
      <c r="G47" s="83"/>
      <c r="H47" s="82" t="str">
        <f>IF(G47=0,"—",G47*E47)</f>
        <v>—</v>
      </c>
      <c r="I47" s="81" t="s">
        <v>447</v>
      </c>
    </row>
    <row r="48" spans="2:9" ht="19.5" customHeight="1" thickBot="1" x14ac:dyDescent="0.3">
      <c r="B48" s="95">
        <v>36</v>
      </c>
      <c r="C48" s="94" t="s">
        <v>446</v>
      </c>
      <c r="D48" s="93" t="s">
        <v>443</v>
      </c>
      <c r="E48" s="92">
        <v>2800</v>
      </c>
      <c r="F48" s="91">
        <v>1</v>
      </c>
      <c r="G48" s="83"/>
      <c r="H48" s="90" t="str">
        <f>IF(G48=0,"—",G48*E48)</f>
        <v>—</v>
      </c>
      <c r="I48" s="89" t="s">
        <v>445</v>
      </c>
    </row>
    <row r="49" spans="2:9" ht="26.25" thickBot="1" x14ac:dyDescent="0.3">
      <c r="B49" s="88">
        <v>37</v>
      </c>
      <c r="C49" s="87" t="s">
        <v>444</v>
      </c>
      <c r="D49" s="86" t="s">
        <v>443</v>
      </c>
      <c r="E49" s="85">
        <v>1600</v>
      </c>
      <c r="F49" s="84">
        <v>1</v>
      </c>
      <c r="G49" s="83"/>
      <c r="H49" s="82" t="str">
        <f>IF(G49=0,"—",G49*E49)</f>
        <v>—</v>
      </c>
      <c r="I49" s="81" t="s">
        <v>442</v>
      </c>
    </row>
    <row r="50" spans="2:9" ht="15" customHeight="1" thickBot="1" x14ac:dyDescent="0.3"/>
    <row r="51" spans="2:9" ht="18.75" thickBot="1" x14ac:dyDescent="0.3">
      <c r="B51" s="116" t="s">
        <v>441</v>
      </c>
      <c r="C51" s="117"/>
      <c r="D51" s="117"/>
      <c r="E51" s="117"/>
      <c r="F51" s="118"/>
      <c r="G51" s="80">
        <f>SUMPRODUCT((G6:G49&lt;&gt;0)*G6:G49*E6:E49)</f>
        <v>0</v>
      </c>
      <c r="H51" s="119" t="s">
        <v>440</v>
      </c>
      <c r="I51" s="120"/>
    </row>
    <row r="52" spans="2:9" ht="15.75" thickBot="1" x14ac:dyDescent="0.3"/>
    <row r="53" spans="2:9" ht="15.75" thickBot="1" x14ac:dyDescent="0.3">
      <c r="B53" s="79" t="s">
        <v>439</v>
      </c>
      <c r="C53" s="78"/>
      <c r="D53" s="78"/>
      <c r="E53" s="78"/>
      <c r="F53" s="78"/>
      <c r="G53" s="78"/>
      <c r="H53" s="78"/>
      <c r="I53" s="78"/>
    </row>
    <row r="55" spans="2:9" x14ac:dyDescent="0.25">
      <c r="B55" s="121" t="s">
        <v>438</v>
      </c>
      <c r="C55" s="122"/>
      <c r="D55" s="122"/>
      <c r="E55" s="122"/>
      <c r="F55" s="122"/>
      <c r="G55" s="122"/>
      <c r="H55" s="122"/>
      <c r="I55" s="122"/>
    </row>
  </sheetData>
  <mergeCells count="12">
    <mergeCell ref="B51:F51"/>
    <mergeCell ref="H51:I51"/>
    <mergeCell ref="B55:I55"/>
    <mergeCell ref="B26:I26"/>
    <mergeCell ref="B30:I30"/>
    <mergeCell ref="B35:I35"/>
    <mergeCell ref="B45:I45"/>
    <mergeCell ref="B2:I2"/>
    <mergeCell ref="B3:I3"/>
    <mergeCell ref="B6:I6"/>
    <mergeCell ref="B13:I13"/>
    <mergeCell ref="B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5A4A-F96F-4D4B-8E37-CDB0B8FA168C}">
  <dimension ref="B1:G51"/>
  <sheetViews>
    <sheetView showGridLines="0" topLeftCell="A8" zoomScaleNormal="100" workbookViewId="0">
      <selection activeCell="E23" sqref="E23"/>
    </sheetView>
  </sheetViews>
  <sheetFormatPr defaultColWidth="8.7109375" defaultRowHeight="15" x14ac:dyDescent="0.25"/>
  <cols>
    <col min="1" max="1" width="2" style="77" customWidth="1"/>
    <col min="2" max="2" width="5" style="77" customWidth="1"/>
    <col min="3" max="3" width="35" style="77" customWidth="1"/>
    <col min="4" max="6" width="14" style="77" customWidth="1"/>
    <col min="7" max="7" width="30" style="77" customWidth="1"/>
    <col min="8" max="16384" width="8.7109375" style="77"/>
  </cols>
  <sheetData>
    <row r="1" spans="2:7" ht="7.5" customHeight="1" x14ac:dyDescent="0.25"/>
    <row r="2" spans="2:7" ht="37.5" customHeight="1" x14ac:dyDescent="0.25">
      <c r="B2" s="126" t="s">
        <v>545</v>
      </c>
      <c r="C2" s="126"/>
      <c r="D2" s="126"/>
      <c r="E2" s="126"/>
      <c r="F2" s="126"/>
      <c r="G2" s="126"/>
    </row>
    <row r="3" spans="2:7" ht="18" customHeight="1" x14ac:dyDescent="0.25">
      <c r="B3" s="127" t="s">
        <v>544</v>
      </c>
      <c r="C3" s="127"/>
      <c r="D3" s="127"/>
      <c r="E3" s="127"/>
      <c r="F3" s="127"/>
      <c r="G3" s="127"/>
    </row>
    <row r="4" spans="2:7" ht="7.5" customHeight="1" x14ac:dyDescent="0.25"/>
    <row r="5" spans="2:7" ht="24" customHeight="1" thickBot="1" x14ac:dyDescent="0.3">
      <c r="B5" s="96" t="s">
        <v>533</v>
      </c>
      <c r="C5" s="96" t="s">
        <v>543</v>
      </c>
      <c r="D5" s="96" t="s">
        <v>531</v>
      </c>
      <c r="E5" s="96" t="s">
        <v>530</v>
      </c>
      <c r="F5" s="96" t="s">
        <v>529</v>
      </c>
      <c r="G5" s="96" t="s">
        <v>363</v>
      </c>
    </row>
    <row r="6" spans="2:7" ht="21.75" customHeight="1" thickBot="1" x14ac:dyDescent="0.3">
      <c r="B6" s="128" t="s">
        <v>526</v>
      </c>
      <c r="C6" s="128"/>
      <c r="D6" s="128"/>
      <c r="E6" s="128"/>
      <c r="F6" s="128"/>
      <c r="G6" s="128"/>
    </row>
    <row r="7" spans="2:7" ht="18" customHeight="1" x14ac:dyDescent="0.25">
      <c r="B7" s="88">
        <v>1</v>
      </c>
      <c r="C7" s="87" t="s">
        <v>525</v>
      </c>
      <c r="D7" s="86" t="s">
        <v>443</v>
      </c>
      <c r="E7" s="82">
        <v>790</v>
      </c>
      <c r="F7" s="88" t="s">
        <v>537</v>
      </c>
      <c r="G7" s="81" t="s">
        <v>524</v>
      </c>
    </row>
    <row r="8" spans="2:7" ht="18" customHeight="1" x14ac:dyDescent="0.25">
      <c r="B8" s="95">
        <v>2</v>
      </c>
      <c r="C8" s="94" t="s">
        <v>523</v>
      </c>
      <c r="D8" s="93" t="s">
        <v>443</v>
      </c>
      <c r="E8" s="90">
        <v>950</v>
      </c>
      <c r="F8" s="95" t="s">
        <v>537</v>
      </c>
      <c r="G8" s="89" t="s">
        <v>522</v>
      </c>
    </row>
    <row r="9" spans="2:7" ht="18" customHeight="1" x14ac:dyDescent="0.25">
      <c r="B9" s="88">
        <v>3</v>
      </c>
      <c r="C9" s="87" t="s">
        <v>521</v>
      </c>
      <c r="D9" s="86" t="s">
        <v>443</v>
      </c>
      <c r="E9" s="82">
        <v>1200</v>
      </c>
      <c r="F9" s="88" t="s">
        <v>537</v>
      </c>
      <c r="G9" s="81" t="s">
        <v>520</v>
      </c>
    </row>
    <row r="10" spans="2:7" ht="18" customHeight="1" x14ac:dyDescent="0.25">
      <c r="B10" s="95">
        <v>4</v>
      </c>
      <c r="C10" s="94" t="s">
        <v>519</v>
      </c>
      <c r="D10" s="93" t="s">
        <v>443</v>
      </c>
      <c r="E10" s="90">
        <v>1300</v>
      </c>
      <c r="F10" s="95" t="s">
        <v>538</v>
      </c>
      <c r="G10" s="89" t="s">
        <v>518</v>
      </c>
    </row>
    <row r="11" spans="2:7" x14ac:dyDescent="0.25">
      <c r="B11" s="88">
        <v>5</v>
      </c>
      <c r="C11" s="87" t="s">
        <v>517</v>
      </c>
      <c r="D11" s="86" t="s">
        <v>516</v>
      </c>
      <c r="E11" s="82">
        <v>50</v>
      </c>
      <c r="F11" s="88" t="s">
        <v>542</v>
      </c>
      <c r="G11" s="81" t="s">
        <v>515</v>
      </c>
    </row>
    <row r="12" spans="2:7" ht="26.25" thickBot="1" x14ac:dyDescent="0.3">
      <c r="B12" s="95">
        <v>6</v>
      </c>
      <c r="C12" s="94" t="s">
        <v>514</v>
      </c>
      <c r="D12" s="93" t="s">
        <v>513</v>
      </c>
      <c r="E12" s="90">
        <v>2800</v>
      </c>
      <c r="F12" s="95" t="s">
        <v>540</v>
      </c>
      <c r="G12" s="89" t="s">
        <v>512</v>
      </c>
    </row>
    <row r="13" spans="2:7" ht="21.75" customHeight="1" thickBot="1" x14ac:dyDescent="0.3">
      <c r="B13" s="129" t="s">
        <v>511</v>
      </c>
      <c r="C13" s="129"/>
      <c r="D13" s="129"/>
      <c r="E13" s="129"/>
      <c r="F13" s="129"/>
      <c r="G13" s="129"/>
    </row>
    <row r="14" spans="2:7" ht="18" customHeight="1" x14ac:dyDescent="0.25">
      <c r="B14" s="88">
        <v>7</v>
      </c>
      <c r="C14" s="87" t="s">
        <v>510</v>
      </c>
      <c r="D14" s="86" t="s">
        <v>443</v>
      </c>
      <c r="E14" s="82">
        <v>790</v>
      </c>
      <c r="F14" s="88" t="s">
        <v>537</v>
      </c>
      <c r="G14" s="81" t="s">
        <v>509</v>
      </c>
    </row>
    <row r="15" spans="2:7" ht="18" customHeight="1" x14ac:dyDescent="0.25">
      <c r="B15" s="95">
        <v>8</v>
      </c>
      <c r="C15" s="94" t="s">
        <v>508</v>
      </c>
      <c r="D15" s="93" t="s">
        <v>443</v>
      </c>
      <c r="E15" s="90">
        <v>350</v>
      </c>
      <c r="F15" s="95" t="s">
        <v>538</v>
      </c>
      <c r="G15" s="89" t="s">
        <v>507</v>
      </c>
    </row>
    <row r="16" spans="2:7" ht="18" customHeight="1" x14ac:dyDescent="0.25">
      <c r="B16" s="88">
        <v>9</v>
      </c>
      <c r="C16" s="87" t="s">
        <v>506</v>
      </c>
      <c r="D16" s="86" t="s">
        <v>443</v>
      </c>
      <c r="E16" s="82">
        <v>480</v>
      </c>
      <c r="F16" s="88" t="s">
        <v>539</v>
      </c>
      <c r="G16" s="81" t="s">
        <v>505</v>
      </c>
    </row>
    <row r="17" spans="2:7" ht="18" customHeight="1" thickBot="1" x14ac:dyDescent="0.3">
      <c r="B17" s="95">
        <v>10</v>
      </c>
      <c r="C17" s="94" t="s">
        <v>504</v>
      </c>
      <c r="D17" s="93" t="s">
        <v>443</v>
      </c>
      <c r="E17" s="90">
        <v>1500</v>
      </c>
      <c r="F17" s="95" t="s">
        <v>539</v>
      </c>
      <c r="G17" s="89" t="s">
        <v>553</v>
      </c>
    </row>
    <row r="18" spans="2:7" ht="21.75" customHeight="1" thickBot="1" x14ac:dyDescent="0.3">
      <c r="B18" s="130" t="s">
        <v>503</v>
      </c>
      <c r="C18" s="130"/>
      <c r="D18" s="130"/>
      <c r="E18" s="130"/>
      <c r="F18" s="130"/>
      <c r="G18" s="130"/>
    </row>
    <row r="19" spans="2:7" ht="22.5" x14ac:dyDescent="0.25">
      <c r="B19" s="88">
        <v>11</v>
      </c>
      <c r="C19" s="87" t="s">
        <v>502</v>
      </c>
      <c r="D19" s="86" t="s">
        <v>443</v>
      </c>
      <c r="E19" s="82">
        <v>1000</v>
      </c>
      <c r="F19" s="88" t="s">
        <v>537</v>
      </c>
      <c r="G19" s="81" t="s">
        <v>501</v>
      </c>
    </row>
    <row r="20" spans="2:7" ht="18" customHeight="1" x14ac:dyDescent="0.25">
      <c r="B20" s="95">
        <v>12</v>
      </c>
      <c r="C20" s="94" t="s">
        <v>500</v>
      </c>
      <c r="D20" s="93" t="s">
        <v>443</v>
      </c>
      <c r="E20" s="90">
        <v>1400</v>
      </c>
      <c r="F20" s="95" t="s">
        <v>537</v>
      </c>
      <c r="G20" s="89" t="s">
        <v>499</v>
      </c>
    </row>
    <row r="21" spans="2:7" ht="18" customHeight="1" x14ac:dyDescent="0.25">
      <c r="B21" s="88">
        <v>13</v>
      </c>
      <c r="C21" s="87" t="s">
        <v>498</v>
      </c>
      <c r="D21" s="86" t="s">
        <v>443</v>
      </c>
      <c r="E21" s="82">
        <v>1850</v>
      </c>
      <c r="F21" s="88" t="s">
        <v>537</v>
      </c>
      <c r="G21" s="81" t="s">
        <v>497</v>
      </c>
    </row>
    <row r="22" spans="2:7" ht="18" customHeight="1" x14ac:dyDescent="0.25">
      <c r="B22" s="95">
        <v>14</v>
      </c>
      <c r="C22" s="94" t="s">
        <v>496</v>
      </c>
      <c r="D22" s="93" t="s">
        <v>443</v>
      </c>
      <c r="E22" s="90">
        <v>1200</v>
      </c>
      <c r="F22" s="95" t="s">
        <v>539</v>
      </c>
      <c r="G22" s="89" t="s">
        <v>495</v>
      </c>
    </row>
    <row r="23" spans="2:7" ht="18" customHeight="1" x14ac:dyDescent="0.25">
      <c r="B23" s="88">
        <v>15</v>
      </c>
      <c r="C23" s="87" t="s">
        <v>494</v>
      </c>
      <c r="D23" s="86" t="s">
        <v>443</v>
      </c>
      <c r="E23" s="82">
        <v>2200</v>
      </c>
      <c r="F23" s="88" t="s">
        <v>537</v>
      </c>
      <c r="G23" s="81" t="s">
        <v>554</v>
      </c>
    </row>
    <row r="24" spans="2:7" ht="18" customHeight="1" x14ac:dyDescent="0.25">
      <c r="B24" s="95">
        <v>16</v>
      </c>
      <c r="C24" s="94" t="s">
        <v>493</v>
      </c>
      <c r="D24" s="93" t="s">
        <v>443</v>
      </c>
      <c r="E24" s="90">
        <v>1500</v>
      </c>
      <c r="F24" s="95" t="s">
        <v>537</v>
      </c>
      <c r="G24" s="89" t="s">
        <v>492</v>
      </c>
    </row>
    <row r="25" spans="2:7" ht="18" customHeight="1" thickBot="1" x14ac:dyDescent="0.3">
      <c r="B25" s="88">
        <v>17</v>
      </c>
      <c r="C25" s="87" t="s">
        <v>491</v>
      </c>
      <c r="D25" s="86" t="s">
        <v>443</v>
      </c>
      <c r="E25" s="82">
        <v>1300</v>
      </c>
      <c r="F25" s="88" t="s">
        <v>539</v>
      </c>
      <c r="G25" s="81" t="s">
        <v>490</v>
      </c>
    </row>
    <row r="26" spans="2:7" ht="21.75" customHeight="1" thickBot="1" x14ac:dyDescent="0.3">
      <c r="B26" s="133" t="s">
        <v>489</v>
      </c>
      <c r="C26" s="133"/>
      <c r="D26" s="133"/>
      <c r="E26" s="133"/>
      <c r="F26" s="133"/>
      <c r="G26" s="133"/>
    </row>
    <row r="27" spans="2:7" ht="18" customHeight="1" x14ac:dyDescent="0.25">
      <c r="B27" s="95">
        <v>18</v>
      </c>
      <c r="C27" s="94" t="s">
        <v>488</v>
      </c>
      <c r="D27" s="93" t="s">
        <v>443</v>
      </c>
      <c r="E27" s="90">
        <v>550</v>
      </c>
      <c r="F27" s="95" t="s">
        <v>540</v>
      </c>
      <c r="G27" s="89" t="s">
        <v>487</v>
      </c>
    </row>
    <row r="28" spans="2:7" ht="18" customHeight="1" x14ac:dyDescent="0.25">
      <c r="B28" s="88">
        <v>19</v>
      </c>
      <c r="C28" s="87" t="s">
        <v>486</v>
      </c>
      <c r="D28" s="86" t="s">
        <v>443</v>
      </c>
      <c r="E28" s="82">
        <v>350</v>
      </c>
      <c r="F28" s="88" t="s">
        <v>541</v>
      </c>
      <c r="G28" s="81" t="s">
        <v>485</v>
      </c>
    </row>
    <row r="29" spans="2:7" ht="26.25" thickBot="1" x14ac:dyDescent="0.3">
      <c r="B29" s="95">
        <v>20</v>
      </c>
      <c r="C29" s="94" t="s">
        <v>484</v>
      </c>
      <c r="D29" s="93" t="s">
        <v>456</v>
      </c>
      <c r="E29" s="90">
        <v>120</v>
      </c>
      <c r="F29" s="95" t="s">
        <v>542</v>
      </c>
      <c r="G29" s="89" t="s">
        <v>483</v>
      </c>
    </row>
    <row r="30" spans="2:7" ht="21.75" customHeight="1" thickBot="1" x14ac:dyDescent="0.3">
      <c r="B30" s="134" t="s">
        <v>482</v>
      </c>
      <c r="C30" s="134"/>
      <c r="D30" s="134"/>
      <c r="E30" s="134"/>
      <c r="F30" s="134"/>
      <c r="G30" s="134"/>
    </row>
    <row r="31" spans="2:7" ht="18" customHeight="1" x14ac:dyDescent="0.25">
      <c r="B31" s="88">
        <v>21</v>
      </c>
      <c r="C31" s="87" t="s">
        <v>481</v>
      </c>
      <c r="D31" s="86" t="s">
        <v>463</v>
      </c>
      <c r="E31" s="82">
        <v>2500</v>
      </c>
      <c r="F31" s="88" t="s">
        <v>537</v>
      </c>
      <c r="G31" s="81" t="s">
        <v>480</v>
      </c>
    </row>
    <row r="32" spans="2:7" ht="18" customHeight="1" x14ac:dyDescent="0.25">
      <c r="B32" s="95">
        <v>22</v>
      </c>
      <c r="C32" s="94" t="s">
        <v>479</v>
      </c>
      <c r="D32" s="93" t="s">
        <v>463</v>
      </c>
      <c r="E32" s="90">
        <v>4500</v>
      </c>
      <c r="F32" s="95" t="s">
        <v>537</v>
      </c>
      <c r="G32" s="89" t="s">
        <v>478</v>
      </c>
    </row>
    <row r="33" spans="2:7" ht="18" customHeight="1" x14ac:dyDescent="0.25">
      <c r="B33" s="88">
        <v>23</v>
      </c>
      <c r="C33" s="87" t="s">
        <v>477</v>
      </c>
      <c r="D33" s="86" t="s">
        <v>463</v>
      </c>
      <c r="E33" s="82">
        <v>3500</v>
      </c>
      <c r="F33" s="88" t="s">
        <v>537</v>
      </c>
      <c r="G33" s="81" t="s">
        <v>476</v>
      </c>
    </row>
    <row r="34" spans="2:7" ht="18" customHeight="1" thickBot="1" x14ac:dyDescent="0.3">
      <c r="B34" s="95">
        <v>24</v>
      </c>
      <c r="C34" s="94" t="s">
        <v>475</v>
      </c>
      <c r="D34" s="93" t="s">
        <v>463</v>
      </c>
      <c r="E34" s="90">
        <v>400</v>
      </c>
      <c r="F34" s="95" t="s">
        <v>540</v>
      </c>
      <c r="G34" s="89" t="s">
        <v>474</v>
      </c>
    </row>
    <row r="35" spans="2:7" ht="24" customHeight="1" thickBot="1" x14ac:dyDescent="0.3">
      <c r="B35" s="125" t="s">
        <v>473</v>
      </c>
      <c r="C35" s="125"/>
      <c r="D35" s="125"/>
      <c r="E35" s="125"/>
      <c r="F35" s="125"/>
      <c r="G35" s="125"/>
    </row>
    <row r="36" spans="2:7" ht="19.5" customHeight="1" x14ac:dyDescent="0.25">
      <c r="B36" s="88">
        <v>25</v>
      </c>
      <c r="C36" s="87" t="s">
        <v>472</v>
      </c>
      <c r="D36" s="86" t="s">
        <v>463</v>
      </c>
      <c r="E36" s="97">
        <v>250</v>
      </c>
      <c r="F36" s="84" t="s">
        <v>541</v>
      </c>
      <c r="G36" s="81" t="s">
        <v>471</v>
      </c>
    </row>
    <row r="37" spans="2:7" ht="19.5" customHeight="1" x14ac:dyDescent="0.25">
      <c r="B37" s="95">
        <v>26</v>
      </c>
      <c r="C37" s="94" t="s">
        <v>470</v>
      </c>
      <c r="D37" s="93" t="s">
        <v>463</v>
      </c>
      <c r="E37" s="98">
        <v>380</v>
      </c>
      <c r="F37" s="91" t="s">
        <v>540</v>
      </c>
      <c r="G37" s="89" t="s">
        <v>469</v>
      </c>
    </row>
    <row r="38" spans="2:7" ht="25.5" x14ac:dyDescent="0.25">
      <c r="B38" s="88">
        <v>27</v>
      </c>
      <c r="C38" s="87" t="s">
        <v>468</v>
      </c>
      <c r="D38" s="86" t="s">
        <v>463</v>
      </c>
      <c r="E38" s="97">
        <v>900</v>
      </c>
      <c r="F38" s="84" t="s">
        <v>537</v>
      </c>
      <c r="G38" s="81" t="s">
        <v>467</v>
      </c>
    </row>
    <row r="39" spans="2:7" ht="25.5" x14ac:dyDescent="0.25">
      <c r="B39" s="95">
        <v>28</v>
      </c>
      <c r="C39" s="94" t="s">
        <v>466</v>
      </c>
      <c r="D39" s="93" t="s">
        <v>463</v>
      </c>
      <c r="E39" s="98">
        <v>1800</v>
      </c>
      <c r="F39" s="91" t="s">
        <v>537</v>
      </c>
      <c r="G39" s="89" t="s">
        <v>465</v>
      </c>
    </row>
    <row r="40" spans="2:7" ht="25.5" x14ac:dyDescent="0.25">
      <c r="B40" s="88">
        <v>29</v>
      </c>
      <c r="C40" s="87" t="s">
        <v>464</v>
      </c>
      <c r="D40" s="86" t="s">
        <v>463</v>
      </c>
      <c r="E40" s="97">
        <v>3200</v>
      </c>
      <c r="F40" s="88" t="s">
        <v>538</v>
      </c>
      <c r="G40" s="81" t="s">
        <v>462</v>
      </c>
    </row>
    <row r="41" spans="2:7" ht="19.5" customHeight="1" x14ac:dyDescent="0.25">
      <c r="B41" s="95">
        <v>30</v>
      </c>
      <c r="C41" s="94" t="s">
        <v>461</v>
      </c>
      <c r="D41" s="93" t="s">
        <v>456</v>
      </c>
      <c r="E41" s="98">
        <v>450</v>
      </c>
      <c r="F41" s="91" t="s">
        <v>539</v>
      </c>
      <c r="G41" s="89" t="s">
        <v>460</v>
      </c>
    </row>
    <row r="42" spans="2:7" ht="19.5" customHeight="1" x14ac:dyDescent="0.25">
      <c r="B42" s="88">
        <v>31</v>
      </c>
      <c r="C42" s="87" t="s">
        <v>459</v>
      </c>
      <c r="D42" s="86" t="s">
        <v>456</v>
      </c>
      <c r="E42" s="97">
        <v>750</v>
      </c>
      <c r="F42" s="84" t="s">
        <v>539</v>
      </c>
      <c r="G42" s="81" t="s">
        <v>458</v>
      </c>
    </row>
    <row r="43" spans="2:7" ht="19.5" customHeight="1" x14ac:dyDescent="0.25">
      <c r="B43" s="95">
        <v>32</v>
      </c>
      <c r="C43" s="94" t="s">
        <v>457</v>
      </c>
      <c r="D43" s="93" t="s">
        <v>456</v>
      </c>
      <c r="E43" s="98">
        <v>600</v>
      </c>
      <c r="F43" s="91" t="s">
        <v>539</v>
      </c>
      <c r="G43" s="89" t="s">
        <v>455</v>
      </c>
    </row>
    <row r="44" spans="2:7" ht="26.25" thickBot="1" x14ac:dyDescent="0.3">
      <c r="B44" s="88">
        <v>33</v>
      </c>
      <c r="C44" s="87" t="s">
        <v>454</v>
      </c>
      <c r="D44" s="86" t="s">
        <v>453</v>
      </c>
      <c r="E44" s="97">
        <v>1200</v>
      </c>
      <c r="F44" s="84" t="s">
        <v>538</v>
      </c>
      <c r="G44" s="81" t="s">
        <v>452</v>
      </c>
    </row>
    <row r="45" spans="2:7" ht="24" customHeight="1" thickBot="1" x14ac:dyDescent="0.3">
      <c r="B45" s="113" t="s">
        <v>451</v>
      </c>
      <c r="C45" s="113"/>
      <c r="D45" s="113"/>
      <c r="E45" s="113"/>
      <c r="F45" s="113"/>
      <c r="G45" s="113"/>
    </row>
    <row r="46" spans="2:7" ht="25.5" x14ac:dyDescent="0.25">
      <c r="B46" s="95">
        <v>34</v>
      </c>
      <c r="C46" s="94" t="s">
        <v>450</v>
      </c>
      <c r="D46" s="93" t="s">
        <v>443</v>
      </c>
      <c r="E46" s="98">
        <v>1800</v>
      </c>
      <c r="F46" s="95" t="s">
        <v>537</v>
      </c>
      <c r="G46" s="89" t="s">
        <v>449</v>
      </c>
    </row>
    <row r="47" spans="2:7" ht="19.5" customHeight="1" x14ac:dyDescent="0.25">
      <c r="B47" s="88">
        <v>35</v>
      </c>
      <c r="C47" s="87" t="s">
        <v>448</v>
      </c>
      <c r="D47" s="86" t="s">
        <v>443</v>
      </c>
      <c r="E47" s="97">
        <v>1400</v>
      </c>
      <c r="F47" s="88" t="s">
        <v>537</v>
      </c>
      <c r="G47" s="81" t="s">
        <v>447</v>
      </c>
    </row>
    <row r="48" spans="2:7" ht="19.5" customHeight="1" x14ac:dyDescent="0.25">
      <c r="B48" s="95">
        <v>36</v>
      </c>
      <c r="C48" s="94" t="s">
        <v>446</v>
      </c>
      <c r="D48" s="93" t="s">
        <v>443</v>
      </c>
      <c r="E48" s="98">
        <v>2800</v>
      </c>
      <c r="F48" s="95" t="s">
        <v>537</v>
      </c>
      <c r="G48" s="89" t="s">
        <v>445</v>
      </c>
    </row>
    <row r="49" spans="2:7" ht="25.5" x14ac:dyDescent="0.25">
      <c r="B49" s="88">
        <v>37</v>
      </c>
      <c r="C49" s="87" t="s">
        <v>444</v>
      </c>
      <c r="D49" s="86" t="s">
        <v>443</v>
      </c>
      <c r="E49" s="97">
        <v>1600</v>
      </c>
      <c r="F49" s="88" t="s">
        <v>537</v>
      </c>
      <c r="G49" s="81" t="s">
        <v>442</v>
      </c>
    </row>
    <row r="50" spans="2:7" ht="15.75" thickBot="1" x14ac:dyDescent="0.3"/>
    <row r="51" spans="2:7" ht="15.75" thickBot="1" x14ac:dyDescent="0.3">
      <c r="B51" s="131" t="s">
        <v>536</v>
      </c>
      <c r="C51" s="132"/>
      <c r="D51" s="132"/>
      <c r="E51" s="132"/>
      <c r="F51" s="132"/>
      <c r="G51" s="132"/>
    </row>
  </sheetData>
  <mergeCells count="10">
    <mergeCell ref="B51:G51"/>
    <mergeCell ref="B26:G26"/>
    <mergeCell ref="B30:G30"/>
    <mergeCell ref="B35:G35"/>
    <mergeCell ref="B45:G45"/>
    <mergeCell ref="B2:G2"/>
    <mergeCell ref="B3:G3"/>
    <mergeCell ref="B6:G6"/>
    <mergeCell ref="B13:G13"/>
    <mergeCell ref="B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C11" sqref="C11"/>
    </sheetView>
  </sheetViews>
  <sheetFormatPr defaultRowHeight="15" x14ac:dyDescent="0.25"/>
  <cols>
    <col min="1" max="1" width="33.5703125" style="34" bestFit="1" customWidth="1"/>
    <col min="2" max="5" width="18" style="34" customWidth="1"/>
  </cols>
  <sheetData>
    <row r="1" spans="1:5" ht="36" customHeight="1" x14ac:dyDescent="0.25">
      <c r="A1" s="137" t="s">
        <v>0</v>
      </c>
      <c r="B1" s="138"/>
      <c r="C1" s="138"/>
      <c r="D1" s="138"/>
      <c r="E1" s="139"/>
    </row>
    <row r="2" spans="1:5" x14ac:dyDescent="0.25">
      <c r="A2" s="135" t="s">
        <v>1</v>
      </c>
      <c r="B2" s="136"/>
      <c r="C2" s="136"/>
      <c r="D2" s="136"/>
      <c r="E2" s="136"/>
    </row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140" t="s">
        <v>7</v>
      </c>
      <c r="B5" s="138"/>
      <c r="C5" s="138"/>
      <c r="D5" s="138"/>
      <c r="E5" s="139"/>
    </row>
    <row r="6" spans="1:5" x14ac:dyDescent="0.25">
      <c r="A6" s="39" t="s">
        <v>8</v>
      </c>
      <c r="B6" s="2">
        <v>164400</v>
      </c>
      <c r="C6" s="2">
        <v>1001251</v>
      </c>
      <c r="D6" s="2">
        <f>C6-B6</f>
        <v>836851</v>
      </c>
      <c r="E6" s="3">
        <f>IFERROR((C6-B6)/B6,"—")</f>
        <v>5.0903345498783459</v>
      </c>
    </row>
    <row r="7" spans="1:5" x14ac:dyDescent="0.25">
      <c r="A7" s="36" t="s">
        <v>9</v>
      </c>
      <c r="B7" s="4">
        <f>B6</f>
        <v>164400</v>
      </c>
      <c r="C7" s="4">
        <f>C6</f>
        <v>1001251</v>
      </c>
      <c r="D7" s="4">
        <f>C7-B7</f>
        <v>836851</v>
      </c>
      <c r="E7" s="5">
        <f>IFERROR((C7-B7)/B7,"—")</f>
        <v>5.0903345498783459</v>
      </c>
    </row>
    <row r="9" spans="1:5" x14ac:dyDescent="0.25">
      <c r="A9" s="140" t="s">
        <v>10</v>
      </c>
      <c r="B9" s="138"/>
      <c r="C9" s="138"/>
      <c r="D9" s="138"/>
      <c r="E9" s="139"/>
    </row>
    <row r="10" spans="1:5" x14ac:dyDescent="0.25">
      <c r="A10" s="39" t="s">
        <v>11</v>
      </c>
      <c r="B10" s="2">
        <v>48909</v>
      </c>
      <c r="C10" s="2">
        <v>79161</v>
      </c>
      <c r="D10" s="2">
        <f>C10-B10</f>
        <v>30252</v>
      </c>
      <c r="E10" s="3">
        <f>IFERROR((C10-B10)/B10,"—")</f>
        <v>0.61853646568116294</v>
      </c>
    </row>
    <row r="11" spans="1:5" x14ac:dyDescent="0.25">
      <c r="A11" s="36" t="s">
        <v>12</v>
      </c>
      <c r="B11" s="4">
        <f>B10</f>
        <v>48909</v>
      </c>
      <c r="C11" s="4">
        <f>C10</f>
        <v>79161</v>
      </c>
      <c r="D11" s="4">
        <f>C11-B11</f>
        <v>30252</v>
      </c>
      <c r="E11" s="5">
        <f>IFERROR((C11-B11)/ABS(B11),"—")</f>
        <v>0.61853646568116294</v>
      </c>
    </row>
    <row r="13" spans="1:5" x14ac:dyDescent="0.25">
      <c r="A13" s="140" t="s">
        <v>13</v>
      </c>
      <c r="B13" s="138"/>
      <c r="C13" s="138"/>
      <c r="D13" s="138"/>
      <c r="E13" s="139"/>
    </row>
    <row r="14" spans="1:5" x14ac:dyDescent="0.25">
      <c r="A14" s="39" t="s">
        <v>14</v>
      </c>
      <c r="B14" s="2">
        <f>B7-B11</f>
        <v>115491</v>
      </c>
      <c r="C14" s="2">
        <f>C7-C11</f>
        <v>922090</v>
      </c>
      <c r="D14" s="2">
        <f>C14-B14</f>
        <v>806599</v>
      </c>
      <c r="E14" s="3">
        <f>IFERROR((C14-B14)/ABS(B14),"—")</f>
        <v>6.9840853399832019</v>
      </c>
    </row>
    <row r="15" spans="1:5" x14ac:dyDescent="0.25">
      <c r="A15" s="6" t="s">
        <v>15</v>
      </c>
      <c r="B15" s="7">
        <f>B14</f>
        <v>115491</v>
      </c>
      <c r="C15" s="7">
        <f>C14</f>
        <v>922090</v>
      </c>
      <c r="D15" s="7">
        <f>C15-B15</f>
        <v>806599</v>
      </c>
      <c r="E15" s="8">
        <f>IFERROR((C15-B15)/ABS(B15),"—")</f>
        <v>6.9840853399832019</v>
      </c>
    </row>
    <row r="17" spans="1:5" x14ac:dyDescent="0.25">
      <c r="A17" s="141" t="s">
        <v>16</v>
      </c>
      <c r="B17" s="136"/>
      <c r="C17" s="136"/>
      <c r="D17" s="136"/>
      <c r="E17" s="136"/>
    </row>
  </sheetData>
  <mergeCells count="6">
    <mergeCell ref="A2:E2"/>
    <mergeCell ref="A1:E1"/>
    <mergeCell ref="A5:E5"/>
    <mergeCell ref="A13:E13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0"/>
  <sheetViews>
    <sheetView showGridLines="0" topLeftCell="A156" workbookViewId="0">
      <selection activeCell="J182" sqref="J182"/>
    </sheetView>
  </sheetViews>
  <sheetFormatPr defaultRowHeight="15" outlineLevelRow="1" x14ac:dyDescent="0.25"/>
  <cols>
    <col min="1" max="1" width="12" style="34" customWidth="1"/>
    <col min="2" max="2" width="40" style="34" customWidth="1"/>
    <col min="3" max="3" width="12" style="34" customWidth="1"/>
    <col min="4" max="5" width="14" style="34" customWidth="1"/>
    <col min="6" max="6" width="16" style="34" customWidth="1"/>
  </cols>
  <sheetData>
    <row r="1" spans="1:6" ht="36" customHeight="1" thickBot="1" x14ac:dyDescent="0.3">
      <c r="A1" s="137" t="s">
        <v>17</v>
      </c>
      <c r="B1" s="138"/>
      <c r="C1" s="138"/>
      <c r="D1" s="138"/>
      <c r="E1" s="138"/>
      <c r="F1" s="139"/>
    </row>
    <row r="3" spans="1:6" ht="21.95" customHeight="1" thickBot="1" x14ac:dyDescent="0.3">
      <c r="A3" s="149" t="s">
        <v>18</v>
      </c>
      <c r="B3" s="138"/>
      <c r="C3" s="138"/>
      <c r="D3" s="138"/>
      <c r="E3" s="138"/>
      <c r="F3" s="139"/>
    </row>
    <row r="4" spans="1:6" ht="15.75" thickBot="1" x14ac:dyDescent="0.3">
      <c r="A4" s="9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</row>
    <row r="5" spans="1:6" hidden="1" outlineLevel="1" x14ac:dyDescent="0.25">
      <c r="A5" s="10" t="s">
        <v>25</v>
      </c>
      <c r="B5" s="10" t="s">
        <v>26</v>
      </c>
      <c r="C5" s="10" t="s">
        <v>27</v>
      </c>
      <c r="D5" s="11">
        <v>2024</v>
      </c>
      <c r="E5" s="12">
        <v>2500</v>
      </c>
      <c r="F5" s="13">
        <f>SUM(E5:E5)</f>
        <v>2500</v>
      </c>
    </row>
    <row r="6" spans="1:6" hidden="1" outlineLevel="1" x14ac:dyDescent="0.25">
      <c r="A6" s="14" t="s">
        <v>28</v>
      </c>
      <c r="B6" s="14" t="s">
        <v>29</v>
      </c>
      <c r="C6" s="14" t="s">
        <v>27</v>
      </c>
      <c r="D6" s="15">
        <v>2024</v>
      </c>
      <c r="E6" s="16">
        <v>4000</v>
      </c>
      <c r="F6" s="13">
        <f>SUM(E5:E6)</f>
        <v>6500</v>
      </c>
    </row>
    <row r="7" spans="1:6" hidden="1" outlineLevel="1" x14ac:dyDescent="0.25">
      <c r="A7" s="10" t="s">
        <v>28</v>
      </c>
      <c r="B7" s="10" t="s">
        <v>30</v>
      </c>
      <c r="C7" s="10" t="s">
        <v>27</v>
      </c>
      <c r="D7" s="11">
        <v>2024</v>
      </c>
      <c r="E7" s="12">
        <v>500</v>
      </c>
      <c r="F7" s="13">
        <f>SUM(E5:E7)</f>
        <v>7000</v>
      </c>
    </row>
    <row r="8" spans="1:6" hidden="1" outlineLevel="1" x14ac:dyDescent="0.25">
      <c r="A8" s="14" t="s">
        <v>31</v>
      </c>
      <c r="B8" s="14" t="s">
        <v>32</v>
      </c>
      <c r="C8" s="14" t="s">
        <v>27</v>
      </c>
      <c r="D8" s="15">
        <v>2024</v>
      </c>
      <c r="E8" s="16">
        <v>5600</v>
      </c>
      <c r="F8" s="13">
        <f>SUM(E5:E8)</f>
        <v>12600</v>
      </c>
    </row>
    <row r="9" spans="1:6" hidden="1" outlineLevel="1" x14ac:dyDescent="0.25">
      <c r="A9" s="10" t="s">
        <v>31</v>
      </c>
      <c r="B9" s="10" t="s">
        <v>33</v>
      </c>
      <c r="C9" s="10" t="s">
        <v>27</v>
      </c>
      <c r="D9" s="11">
        <v>2024</v>
      </c>
      <c r="E9" s="12">
        <v>3600</v>
      </c>
      <c r="F9" s="13">
        <f>SUM(E5:E9)</f>
        <v>16200</v>
      </c>
    </row>
    <row r="10" spans="1:6" hidden="1" outlineLevel="1" x14ac:dyDescent="0.25">
      <c r="A10" s="14" t="s">
        <v>34</v>
      </c>
      <c r="B10" s="14" t="s">
        <v>35</v>
      </c>
      <c r="C10" s="14" t="s">
        <v>27</v>
      </c>
      <c r="D10" s="15">
        <v>2024</v>
      </c>
      <c r="E10" s="16">
        <v>1500</v>
      </c>
      <c r="F10" s="13">
        <f>SUM(E5:E10)</f>
        <v>17700</v>
      </c>
    </row>
    <row r="11" spans="1:6" hidden="1" outlineLevel="1" x14ac:dyDescent="0.25">
      <c r="A11" s="10" t="s">
        <v>34</v>
      </c>
      <c r="B11" s="10" t="s">
        <v>36</v>
      </c>
      <c r="C11" s="10" t="s">
        <v>27</v>
      </c>
      <c r="D11" s="11">
        <v>2024</v>
      </c>
      <c r="E11" s="12">
        <v>18000</v>
      </c>
      <c r="F11" s="13">
        <f>SUM(E5:E11)</f>
        <v>35700</v>
      </c>
    </row>
    <row r="12" spans="1:6" hidden="1" outlineLevel="1" x14ac:dyDescent="0.25">
      <c r="A12" s="14" t="s">
        <v>37</v>
      </c>
      <c r="B12" s="14" t="s">
        <v>26</v>
      </c>
      <c r="C12" s="14" t="s">
        <v>27</v>
      </c>
      <c r="D12" s="15">
        <v>2024</v>
      </c>
      <c r="E12" s="16">
        <v>2500</v>
      </c>
      <c r="F12" s="13">
        <f>SUM(E5:E12)</f>
        <v>38200</v>
      </c>
    </row>
    <row r="13" spans="1:6" hidden="1" outlineLevel="1" x14ac:dyDescent="0.25">
      <c r="A13" s="10" t="s">
        <v>37</v>
      </c>
      <c r="B13" s="10" t="s">
        <v>32</v>
      </c>
      <c r="C13" s="10" t="s">
        <v>27</v>
      </c>
      <c r="D13" s="11">
        <v>2024</v>
      </c>
      <c r="E13" s="12">
        <v>5000</v>
      </c>
      <c r="F13" s="13">
        <f>SUM(E5:E13)</f>
        <v>43200</v>
      </c>
    </row>
    <row r="14" spans="1:6" hidden="1" outlineLevel="1" x14ac:dyDescent="0.25">
      <c r="A14" s="14" t="s">
        <v>37</v>
      </c>
      <c r="B14" s="14" t="s">
        <v>38</v>
      </c>
      <c r="C14" s="14" t="s">
        <v>27</v>
      </c>
      <c r="D14" s="15">
        <v>2024</v>
      </c>
      <c r="E14" s="16">
        <v>3500</v>
      </c>
      <c r="F14" s="13">
        <f>SUM(E5:E14)</f>
        <v>46700</v>
      </c>
    </row>
    <row r="15" spans="1:6" hidden="1" outlineLevel="1" x14ac:dyDescent="0.25">
      <c r="A15" s="10" t="s">
        <v>39</v>
      </c>
      <c r="B15" s="10" t="s">
        <v>40</v>
      </c>
      <c r="C15" s="10" t="s">
        <v>27</v>
      </c>
      <c r="D15" s="11">
        <v>2024</v>
      </c>
      <c r="E15" s="12">
        <v>5000</v>
      </c>
      <c r="F15" s="13">
        <f>SUM(E5:E15)</f>
        <v>51700</v>
      </c>
    </row>
    <row r="16" spans="1:6" hidden="1" outlineLevel="1" x14ac:dyDescent="0.25">
      <c r="A16" s="14" t="s">
        <v>41</v>
      </c>
      <c r="B16" s="14" t="s">
        <v>42</v>
      </c>
      <c r="C16" s="14" t="s">
        <v>27</v>
      </c>
      <c r="D16" s="15">
        <v>2024</v>
      </c>
      <c r="E16" s="16">
        <v>6000</v>
      </c>
      <c r="F16" s="13">
        <f>SUM(E5:E16)</f>
        <v>57700</v>
      </c>
    </row>
    <row r="17" spans="1:6" hidden="1" outlineLevel="1" x14ac:dyDescent="0.25">
      <c r="A17" s="10" t="s">
        <v>43</v>
      </c>
      <c r="B17" s="10" t="s">
        <v>32</v>
      </c>
      <c r="C17" s="10" t="s">
        <v>27</v>
      </c>
      <c r="D17" s="11">
        <v>2024</v>
      </c>
      <c r="E17" s="12">
        <v>4600</v>
      </c>
      <c r="F17" s="13">
        <f>SUM(E5:E17)</f>
        <v>62300</v>
      </c>
    </row>
    <row r="18" spans="1:6" hidden="1" outlineLevel="1" x14ac:dyDescent="0.25">
      <c r="A18" s="14" t="s">
        <v>44</v>
      </c>
      <c r="B18" s="14" t="s">
        <v>45</v>
      </c>
      <c r="C18" s="14" t="s">
        <v>27</v>
      </c>
      <c r="D18" s="15">
        <v>2024</v>
      </c>
      <c r="E18" s="16">
        <v>11500</v>
      </c>
      <c r="F18" s="13">
        <f>SUM(E5:E18)</f>
        <v>73800</v>
      </c>
    </row>
    <row r="19" spans="1:6" hidden="1" outlineLevel="1" x14ac:dyDescent="0.25">
      <c r="A19" s="10" t="s">
        <v>46</v>
      </c>
      <c r="B19" s="10" t="s">
        <v>47</v>
      </c>
      <c r="C19" s="10" t="s">
        <v>27</v>
      </c>
      <c r="D19" s="11">
        <v>2024</v>
      </c>
      <c r="E19" s="12">
        <v>10000</v>
      </c>
      <c r="F19" s="13">
        <f>SUM(E5:E19)</f>
        <v>83800</v>
      </c>
    </row>
    <row r="20" spans="1:6" hidden="1" outlineLevel="1" x14ac:dyDescent="0.25">
      <c r="A20" s="14" t="s">
        <v>48</v>
      </c>
      <c r="B20" s="14" t="s">
        <v>35</v>
      </c>
      <c r="C20" s="14" t="s">
        <v>27</v>
      </c>
      <c r="D20" s="15">
        <v>2024</v>
      </c>
      <c r="E20" s="16">
        <v>1500</v>
      </c>
      <c r="F20" s="13">
        <f>SUM(E5:E20)</f>
        <v>85300</v>
      </c>
    </row>
    <row r="21" spans="1:6" hidden="1" outlineLevel="1" x14ac:dyDescent="0.25">
      <c r="A21" s="10" t="s">
        <v>48</v>
      </c>
      <c r="B21" s="10" t="s">
        <v>49</v>
      </c>
      <c r="C21" s="10" t="s">
        <v>27</v>
      </c>
      <c r="D21" s="11">
        <v>2024</v>
      </c>
      <c r="E21" s="12">
        <v>5000</v>
      </c>
      <c r="F21" s="13">
        <f>SUM(E5:E21)</f>
        <v>90300</v>
      </c>
    </row>
    <row r="22" spans="1:6" hidden="1" outlineLevel="1" x14ac:dyDescent="0.25">
      <c r="A22" s="14" t="s">
        <v>50</v>
      </c>
      <c r="B22" s="14" t="s">
        <v>51</v>
      </c>
      <c r="C22" s="14" t="s">
        <v>27</v>
      </c>
      <c r="D22" s="15">
        <v>2024</v>
      </c>
      <c r="E22" s="16">
        <v>6000</v>
      </c>
      <c r="F22" s="13">
        <f>SUM(E5:E22)</f>
        <v>96300</v>
      </c>
    </row>
    <row r="23" spans="1:6" hidden="1" outlineLevel="1" x14ac:dyDescent="0.25">
      <c r="A23" s="10" t="s">
        <v>52</v>
      </c>
      <c r="B23" s="10" t="s">
        <v>45</v>
      </c>
      <c r="C23" s="10" t="s">
        <v>27</v>
      </c>
      <c r="D23" s="11">
        <v>2024</v>
      </c>
      <c r="E23" s="12">
        <v>11500</v>
      </c>
      <c r="F23" s="13">
        <f>SUM(E5:E23)</f>
        <v>107800</v>
      </c>
    </row>
    <row r="24" spans="1:6" hidden="1" outlineLevel="1" x14ac:dyDescent="0.25">
      <c r="A24" s="14" t="s">
        <v>52</v>
      </c>
      <c r="B24" s="14" t="s">
        <v>32</v>
      </c>
      <c r="C24" s="14" t="s">
        <v>27</v>
      </c>
      <c r="D24" s="15">
        <v>2024</v>
      </c>
      <c r="E24" s="16">
        <v>4600</v>
      </c>
      <c r="F24" s="13">
        <f>SUM(E5:E24)</f>
        <v>112400</v>
      </c>
    </row>
    <row r="25" spans="1:6" hidden="1" outlineLevel="1" x14ac:dyDescent="0.25">
      <c r="A25" s="10" t="s">
        <v>53</v>
      </c>
      <c r="B25" s="10" t="s">
        <v>42</v>
      </c>
      <c r="C25" s="10" t="s">
        <v>27</v>
      </c>
      <c r="D25" s="11">
        <v>2024</v>
      </c>
      <c r="E25" s="12">
        <v>4000</v>
      </c>
      <c r="F25" s="13">
        <f>SUM(E5:E25)</f>
        <v>116400</v>
      </c>
    </row>
    <row r="26" spans="1:6" hidden="1" outlineLevel="1" x14ac:dyDescent="0.25">
      <c r="A26" s="14" t="s">
        <v>53</v>
      </c>
      <c r="B26" s="14" t="s">
        <v>54</v>
      </c>
      <c r="C26" s="14" t="s">
        <v>27</v>
      </c>
      <c r="D26" s="15">
        <v>2024</v>
      </c>
      <c r="E26" s="16">
        <v>4000</v>
      </c>
      <c r="F26" s="13">
        <f>SUM(E5:E26)</f>
        <v>120400</v>
      </c>
    </row>
    <row r="27" spans="1:6" hidden="1" outlineLevel="1" x14ac:dyDescent="0.25">
      <c r="A27" s="10" t="s">
        <v>55</v>
      </c>
      <c r="B27" s="10" t="s">
        <v>56</v>
      </c>
      <c r="C27" s="10" t="s">
        <v>27</v>
      </c>
      <c r="D27" s="11">
        <v>2024</v>
      </c>
      <c r="E27" s="12">
        <v>7000</v>
      </c>
      <c r="F27" s="13">
        <f>SUM(E5:E27)</f>
        <v>127400</v>
      </c>
    </row>
    <row r="28" spans="1:6" hidden="1" outlineLevel="1" x14ac:dyDescent="0.25">
      <c r="A28" s="14" t="s">
        <v>57</v>
      </c>
      <c r="B28" s="14" t="s">
        <v>58</v>
      </c>
      <c r="C28" s="14" t="s">
        <v>27</v>
      </c>
      <c r="D28" s="15">
        <v>2024</v>
      </c>
      <c r="E28" s="16">
        <v>6000</v>
      </c>
      <c r="F28" s="13">
        <f>SUM(E5:E28)</f>
        <v>133400</v>
      </c>
    </row>
    <row r="29" spans="1:6" hidden="1" outlineLevel="1" x14ac:dyDescent="0.25">
      <c r="A29" s="10" t="s">
        <v>59</v>
      </c>
      <c r="B29" s="10" t="s">
        <v>32</v>
      </c>
      <c r="C29" s="10" t="s">
        <v>27</v>
      </c>
      <c r="D29" s="11">
        <v>2024</v>
      </c>
      <c r="E29" s="12">
        <v>4500</v>
      </c>
      <c r="F29" s="13">
        <f>SUM(E5:E29)</f>
        <v>137900</v>
      </c>
    </row>
    <row r="30" spans="1:6" hidden="1" outlineLevel="1" x14ac:dyDescent="0.25">
      <c r="A30" s="14" t="s">
        <v>59</v>
      </c>
      <c r="B30" s="14" t="s">
        <v>60</v>
      </c>
      <c r="C30" s="14" t="s">
        <v>27</v>
      </c>
      <c r="D30" s="15">
        <v>2024</v>
      </c>
      <c r="E30" s="16">
        <v>5000</v>
      </c>
      <c r="F30" s="13">
        <f>SUM(E5:E30)</f>
        <v>142900</v>
      </c>
    </row>
    <row r="31" spans="1:6" hidden="1" outlineLevel="1" x14ac:dyDescent="0.25">
      <c r="A31" s="10" t="s">
        <v>61</v>
      </c>
      <c r="B31" s="10" t="s">
        <v>62</v>
      </c>
      <c r="C31" s="10" t="s">
        <v>27</v>
      </c>
      <c r="D31" s="11">
        <v>2024</v>
      </c>
      <c r="E31" s="12">
        <v>5000</v>
      </c>
      <c r="F31" s="13">
        <f>SUM(E5:E31)</f>
        <v>147900</v>
      </c>
    </row>
    <row r="32" spans="1:6" hidden="1" outlineLevel="1" x14ac:dyDescent="0.25">
      <c r="A32" s="14" t="s">
        <v>63</v>
      </c>
      <c r="B32" s="14" t="s">
        <v>45</v>
      </c>
      <c r="C32" s="14" t="s">
        <v>27</v>
      </c>
      <c r="D32" s="15">
        <v>2024</v>
      </c>
      <c r="E32" s="16">
        <v>20000</v>
      </c>
      <c r="F32" s="13">
        <f>SUM(E5:E32)</f>
        <v>167900</v>
      </c>
    </row>
    <row r="33" spans="1:6" hidden="1" outlineLevel="1" x14ac:dyDescent="0.25">
      <c r="A33" s="10" t="s">
        <v>64</v>
      </c>
      <c r="B33" s="10" t="s">
        <v>35</v>
      </c>
      <c r="C33" s="10" t="s">
        <v>27</v>
      </c>
      <c r="D33" s="11">
        <v>2024</v>
      </c>
      <c r="E33" s="12">
        <v>1500</v>
      </c>
      <c r="F33" s="13">
        <f>SUM(E5:E33)</f>
        <v>169400</v>
      </c>
    </row>
    <row r="34" spans="1:6" ht="18" hidden="1" customHeight="1" outlineLevel="1" x14ac:dyDescent="0.25">
      <c r="A34" s="148" t="s">
        <v>65</v>
      </c>
      <c r="B34" s="146"/>
      <c r="C34" s="146"/>
      <c r="D34" s="147"/>
      <c r="E34" s="4">
        <f>SUM(E5:E33)</f>
        <v>169400</v>
      </c>
      <c r="F34" s="17"/>
    </row>
    <row r="35" spans="1:6" ht="15.75" collapsed="1" thickBot="1" x14ac:dyDescent="0.3"/>
    <row r="36" spans="1:6" ht="21.95" customHeight="1" thickBot="1" x14ac:dyDescent="0.3">
      <c r="A36" s="140" t="s">
        <v>66</v>
      </c>
      <c r="B36" s="138"/>
      <c r="C36" s="138"/>
      <c r="D36" s="138"/>
      <c r="E36" s="138"/>
      <c r="F36" s="139"/>
    </row>
    <row r="37" spans="1:6" ht="15.75" thickBot="1" x14ac:dyDescent="0.3">
      <c r="A37" s="9" t="s">
        <v>19</v>
      </c>
      <c r="B37" s="9" t="s">
        <v>20</v>
      </c>
      <c r="C37" s="9" t="s">
        <v>21</v>
      </c>
      <c r="D37" s="9" t="s">
        <v>22</v>
      </c>
      <c r="E37" s="9" t="s">
        <v>23</v>
      </c>
      <c r="F37" s="9" t="s">
        <v>24</v>
      </c>
    </row>
    <row r="38" spans="1:6" outlineLevel="1" x14ac:dyDescent="0.25">
      <c r="A38" s="18" t="s">
        <v>67</v>
      </c>
      <c r="B38" s="18" t="s">
        <v>68</v>
      </c>
      <c r="C38" s="18" t="s">
        <v>27</v>
      </c>
      <c r="D38" s="19">
        <v>2025</v>
      </c>
      <c r="E38" s="20">
        <v>7000</v>
      </c>
      <c r="F38" s="13">
        <f>SUM(E38:E38)</f>
        <v>7000</v>
      </c>
    </row>
    <row r="39" spans="1:6" outlineLevel="1" x14ac:dyDescent="0.25">
      <c r="A39" s="14" t="s">
        <v>69</v>
      </c>
      <c r="B39" s="14" t="s">
        <v>70</v>
      </c>
      <c r="C39" s="14" t="s">
        <v>27</v>
      </c>
      <c r="D39" s="15">
        <v>2025</v>
      </c>
      <c r="E39" s="16">
        <v>12000</v>
      </c>
      <c r="F39" s="13">
        <f>SUM(E38:E39)</f>
        <v>19000</v>
      </c>
    </row>
    <row r="40" spans="1:6" outlineLevel="1" x14ac:dyDescent="0.25">
      <c r="A40" s="18" t="s">
        <v>71</v>
      </c>
      <c r="B40" s="18" t="s">
        <v>72</v>
      </c>
      <c r="C40" s="18" t="s">
        <v>27</v>
      </c>
      <c r="D40" s="19">
        <v>2025</v>
      </c>
      <c r="E40" s="20">
        <v>5000</v>
      </c>
      <c r="F40" s="13">
        <f>SUM(E38:E40)</f>
        <v>24000</v>
      </c>
    </row>
    <row r="41" spans="1:6" outlineLevel="1" x14ac:dyDescent="0.25">
      <c r="A41" s="14" t="s">
        <v>73</v>
      </c>
      <c r="B41" s="14" t="s">
        <v>74</v>
      </c>
      <c r="C41" s="14" t="s">
        <v>27</v>
      </c>
      <c r="D41" s="15">
        <v>2025</v>
      </c>
      <c r="E41" s="16">
        <v>6984</v>
      </c>
      <c r="F41" s="13">
        <f>SUM(E38:E41)</f>
        <v>30984</v>
      </c>
    </row>
    <row r="42" spans="1:6" outlineLevel="1" x14ac:dyDescent="0.25">
      <c r="A42" s="18" t="s">
        <v>75</v>
      </c>
      <c r="B42" s="18" t="s">
        <v>76</v>
      </c>
      <c r="C42" s="18" t="s">
        <v>27</v>
      </c>
      <c r="D42" s="19">
        <v>2025</v>
      </c>
      <c r="E42" s="20">
        <v>26000</v>
      </c>
      <c r="F42" s="13">
        <f>SUM(E38:E42)</f>
        <v>56984</v>
      </c>
    </row>
    <row r="43" spans="1:6" outlineLevel="1" x14ac:dyDescent="0.25">
      <c r="A43" s="14" t="s">
        <v>77</v>
      </c>
      <c r="B43" s="14" t="s">
        <v>78</v>
      </c>
      <c r="C43" s="14" t="s">
        <v>27</v>
      </c>
      <c r="D43" s="15">
        <v>2025</v>
      </c>
      <c r="E43" s="16">
        <v>7000</v>
      </c>
      <c r="F43" s="13">
        <f>SUM(E38:E43)</f>
        <v>63984</v>
      </c>
    </row>
    <row r="44" spans="1:6" outlineLevel="1" x14ac:dyDescent="0.25">
      <c r="A44" s="18" t="s">
        <v>79</v>
      </c>
      <c r="B44" s="18" t="s">
        <v>80</v>
      </c>
      <c r="C44" s="18" t="s">
        <v>27</v>
      </c>
      <c r="D44" s="19">
        <v>2025</v>
      </c>
      <c r="E44" s="20">
        <v>6400</v>
      </c>
      <c r="F44" s="13">
        <f>SUM(E38:E44)</f>
        <v>70384</v>
      </c>
    </row>
    <row r="45" spans="1:6" outlineLevel="1" x14ac:dyDescent="0.25">
      <c r="A45" s="14" t="s">
        <v>81</v>
      </c>
      <c r="B45" s="14" t="s">
        <v>82</v>
      </c>
      <c r="C45" s="14" t="s">
        <v>27</v>
      </c>
      <c r="D45" s="15">
        <v>2025</v>
      </c>
      <c r="E45" s="16">
        <v>2800</v>
      </c>
      <c r="F45" s="13">
        <f>SUM(E38:E45)</f>
        <v>73184</v>
      </c>
    </row>
    <row r="46" spans="1:6" outlineLevel="1" x14ac:dyDescent="0.25">
      <c r="A46" s="18" t="s">
        <v>83</v>
      </c>
      <c r="B46" s="18" t="s">
        <v>84</v>
      </c>
      <c r="C46" s="18" t="s">
        <v>27</v>
      </c>
      <c r="D46" s="19">
        <v>2025</v>
      </c>
      <c r="E46" s="20">
        <v>7200</v>
      </c>
      <c r="F46" s="13">
        <f>SUM(E38:E46)</f>
        <v>80384</v>
      </c>
    </row>
    <row r="47" spans="1:6" outlineLevel="1" x14ac:dyDescent="0.25">
      <c r="A47" s="14" t="s">
        <v>83</v>
      </c>
      <c r="B47" s="14" t="s">
        <v>85</v>
      </c>
      <c r="C47" s="14" t="s">
        <v>27</v>
      </c>
      <c r="D47" s="15">
        <v>2025</v>
      </c>
      <c r="E47" s="16">
        <v>2500</v>
      </c>
      <c r="F47" s="13">
        <f>SUM(E38:E47)</f>
        <v>82884</v>
      </c>
    </row>
    <row r="48" spans="1:6" outlineLevel="1" x14ac:dyDescent="0.25">
      <c r="A48" s="18" t="s">
        <v>86</v>
      </c>
      <c r="B48" s="18" t="s">
        <v>87</v>
      </c>
      <c r="C48" s="18" t="s">
        <v>27</v>
      </c>
      <c r="D48" s="19">
        <v>2025</v>
      </c>
      <c r="E48" s="20">
        <v>6000</v>
      </c>
      <c r="F48" s="13">
        <f>SUM(E38:E48)</f>
        <v>88884</v>
      </c>
    </row>
    <row r="49" spans="1:6" outlineLevel="1" x14ac:dyDescent="0.25">
      <c r="A49" s="14" t="s">
        <v>88</v>
      </c>
      <c r="B49" s="14" t="s">
        <v>89</v>
      </c>
      <c r="C49" s="14" t="s">
        <v>27</v>
      </c>
      <c r="D49" s="15">
        <v>2025</v>
      </c>
      <c r="E49" s="16">
        <v>15000</v>
      </c>
      <c r="F49" s="13">
        <f>SUM(E38:E49)</f>
        <v>103884</v>
      </c>
    </row>
    <row r="50" spans="1:6" outlineLevel="1" x14ac:dyDescent="0.25">
      <c r="A50" s="18" t="s">
        <v>90</v>
      </c>
      <c r="B50" s="18" t="s">
        <v>91</v>
      </c>
      <c r="C50" s="18" t="s">
        <v>27</v>
      </c>
      <c r="D50" s="19">
        <v>2025</v>
      </c>
      <c r="E50" s="20">
        <v>12000</v>
      </c>
      <c r="F50" s="13">
        <f>SUM(E38:E50)</f>
        <v>115884</v>
      </c>
    </row>
    <row r="51" spans="1:6" outlineLevel="1" x14ac:dyDescent="0.25">
      <c r="A51" s="14" t="s">
        <v>92</v>
      </c>
      <c r="B51" s="14" t="s">
        <v>93</v>
      </c>
      <c r="C51" s="14" t="s">
        <v>27</v>
      </c>
      <c r="D51" s="15">
        <v>2025</v>
      </c>
      <c r="E51" s="16">
        <v>4500</v>
      </c>
      <c r="F51" s="13">
        <f>SUM(E38:E51)</f>
        <v>120384</v>
      </c>
    </row>
    <row r="52" spans="1:6" outlineLevel="1" x14ac:dyDescent="0.25">
      <c r="A52" s="18" t="s">
        <v>94</v>
      </c>
      <c r="B52" s="18" t="s">
        <v>95</v>
      </c>
      <c r="C52" s="18" t="s">
        <v>27</v>
      </c>
      <c r="D52" s="19">
        <v>2025</v>
      </c>
      <c r="E52" s="20">
        <v>17000</v>
      </c>
      <c r="F52" s="13">
        <f>SUM(E38:E52)</f>
        <v>137384</v>
      </c>
    </row>
    <row r="53" spans="1:6" outlineLevel="1" x14ac:dyDescent="0.25">
      <c r="A53" s="14" t="s">
        <v>96</v>
      </c>
      <c r="B53" s="14" t="s">
        <v>97</v>
      </c>
      <c r="C53" s="14" t="s">
        <v>27</v>
      </c>
      <c r="D53" s="15">
        <v>2025</v>
      </c>
      <c r="E53" s="16">
        <v>10000.06</v>
      </c>
      <c r="F53" s="13">
        <f>SUM(E38:E53)</f>
        <v>147384.06</v>
      </c>
    </row>
    <row r="54" spans="1:6" outlineLevel="1" x14ac:dyDescent="0.25">
      <c r="A54" s="18" t="s">
        <v>96</v>
      </c>
      <c r="B54" s="18" t="s">
        <v>97</v>
      </c>
      <c r="C54" s="18" t="s">
        <v>27</v>
      </c>
      <c r="D54" s="19">
        <v>2025</v>
      </c>
      <c r="E54" s="20">
        <v>8000</v>
      </c>
      <c r="F54" s="13">
        <f>SUM(E38:E54)</f>
        <v>155384.06</v>
      </c>
    </row>
    <row r="55" spans="1:6" outlineLevel="1" x14ac:dyDescent="0.25">
      <c r="A55" s="14" t="s">
        <v>96</v>
      </c>
      <c r="B55" s="14" t="s">
        <v>98</v>
      </c>
      <c r="C55" s="14" t="s">
        <v>27</v>
      </c>
      <c r="D55" s="15">
        <v>2025</v>
      </c>
      <c r="E55" s="16">
        <v>8500</v>
      </c>
      <c r="F55" s="13">
        <f>SUM(E38:E55)</f>
        <v>163884.06</v>
      </c>
    </row>
    <row r="56" spans="1:6" outlineLevel="1" x14ac:dyDescent="0.25">
      <c r="A56" s="18" t="s">
        <v>99</v>
      </c>
      <c r="B56" s="18" t="s">
        <v>100</v>
      </c>
      <c r="C56" s="18" t="s">
        <v>27</v>
      </c>
      <c r="D56" s="19">
        <v>2025</v>
      </c>
      <c r="E56" s="20">
        <v>5000</v>
      </c>
      <c r="F56" s="13">
        <f>SUM(E38:E56)</f>
        <v>168884.06</v>
      </c>
    </row>
    <row r="57" spans="1:6" outlineLevel="1" x14ac:dyDescent="0.25">
      <c r="A57" s="14" t="s">
        <v>101</v>
      </c>
      <c r="B57" s="14" t="s">
        <v>102</v>
      </c>
      <c r="C57" s="14" t="s">
        <v>27</v>
      </c>
      <c r="D57" s="15">
        <v>2025</v>
      </c>
      <c r="E57" s="16">
        <v>7500</v>
      </c>
      <c r="F57" s="13">
        <f>SUM(E38:E57)</f>
        <v>176384.06</v>
      </c>
    </row>
    <row r="58" spans="1:6" outlineLevel="1" x14ac:dyDescent="0.25">
      <c r="A58" s="18" t="s">
        <v>101</v>
      </c>
      <c r="B58" s="18" t="s">
        <v>103</v>
      </c>
      <c r="C58" s="18" t="s">
        <v>27</v>
      </c>
      <c r="D58" s="19">
        <v>2025</v>
      </c>
      <c r="E58" s="20">
        <v>10000</v>
      </c>
      <c r="F58" s="13">
        <f>SUM(E38:E58)</f>
        <v>186384.06</v>
      </c>
    </row>
    <row r="59" spans="1:6" outlineLevel="1" x14ac:dyDescent="0.25">
      <c r="A59" s="14" t="s">
        <v>101</v>
      </c>
      <c r="B59" s="14" t="s">
        <v>82</v>
      </c>
      <c r="C59" s="14" t="s">
        <v>27</v>
      </c>
      <c r="D59" s="15">
        <v>2025</v>
      </c>
      <c r="E59" s="16">
        <v>3500</v>
      </c>
      <c r="F59" s="13">
        <f>SUM(E38:E59)</f>
        <v>189884.06</v>
      </c>
    </row>
    <row r="60" spans="1:6" outlineLevel="1" x14ac:dyDescent="0.25">
      <c r="A60" s="18" t="s">
        <v>104</v>
      </c>
      <c r="B60" s="18" t="s">
        <v>45</v>
      </c>
      <c r="C60" s="18" t="s">
        <v>27</v>
      </c>
      <c r="D60" s="19">
        <v>2025</v>
      </c>
      <c r="E60" s="20">
        <v>17000</v>
      </c>
      <c r="F60" s="13">
        <f>SUM(E38:E60)</f>
        <v>206884.06</v>
      </c>
    </row>
    <row r="61" spans="1:6" outlineLevel="1" x14ac:dyDescent="0.25">
      <c r="A61" s="14" t="s">
        <v>105</v>
      </c>
      <c r="B61" s="14" t="s">
        <v>106</v>
      </c>
      <c r="C61" s="14" t="s">
        <v>27</v>
      </c>
      <c r="D61" s="15">
        <v>2025</v>
      </c>
      <c r="E61" s="16">
        <v>8000</v>
      </c>
      <c r="F61" s="13">
        <f>SUM(E38:E61)</f>
        <v>214884.06</v>
      </c>
    </row>
    <row r="62" spans="1:6" outlineLevel="1" x14ac:dyDescent="0.25">
      <c r="A62" s="18" t="s">
        <v>105</v>
      </c>
      <c r="B62" s="18" t="s">
        <v>107</v>
      </c>
      <c r="C62" s="18" t="s">
        <v>27</v>
      </c>
      <c r="D62" s="19">
        <v>2025</v>
      </c>
      <c r="E62" s="20">
        <v>3500</v>
      </c>
      <c r="F62" s="13">
        <f>SUM(E38:E62)</f>
        <v>218384.06</v>
      </c>
    </row>
    <row r="63" spans="1:6" outlineLevel="1" x14ac:dyDescent="0.25">
      <c r="A63" s="14" t="s">
        <v>105</v>
      </c>
      <c r="B63" s="14" t="s">
        <v>108</v>
      </c>
      <c r="C63" s="14" t="s">
        <v>27</v>
      </c>
      <c r="D63" s="15">
        <v>2025</v>
      </c>
      <c r="E63" s="16">
        <v>4000</v>
      </c>
      <c r="F63" s="13">
        <f>SUM(E38:E63)</f>
        <v>222384.06</v>
      </c>
    </row>
    <row r="64" spans="1:6" outlineLevel="1" x14ac:dyDescent="0.25">
      <c r="A64" s="18" t="s">
        <v>109</v>
      </c>
      <c r="B64" s="18" t="s">
        <v>110</v>
      </c>
      <c r="C64" s="18" t="s">
        <v>27</v>
      </c>
      <c r="D64" s="19">
        <v>2025</v>
      </c>
      <c r="E64" s="20">
        <v>4700</v>
      </c>
      <c r="F64" s="13">
        <f>SUM(E38:E64)</f>
        <v>227084.06</v>
      </c>
    </row>
    <row r="65" spans="1:6" outlineLevel="1" x14ac:dyDescent="0.25">
      <c r="A65" s="14" t="s">
        <v>109</v>
      </c>
      <c r="B65" s="14" t="s">
        <v>111</v>
      </c>
      <c r="C65" s="14" t="s">
        <v>27</v>
      </c>
      <c r="D65" s="15">
        <v>2025</v>
      </c>
      <c r="E65" s="16">
        <v>3500</v>
      </c>
      <c r="F65" s="13">
        <f>SUM(E38:E65)</f>
        <v>230584.06</v>
      </c>
    </row>
    <row r="66" spans="1:6" outlineLevel="1" x14ac:dyDescent="0.25">
      <c r="A66" s="18" t="s">
        <v>109</v>
      </c>
      <c r="B66" s="18" t="s">
        <v>112</v>
      </c>
      <c r="C66" s="18" t="s">
        <v>27</v>
      </c>
      <c r="D66" s="19">
        <v>2025</v>
      </c>
      <c r="E66" s="20">
        <v>13000</v>
      </c>
      <c r="F66" s="13">
        <f>SUM(E38:E66)</f>
        <v>243584.06</v>
      </c>
    </row>
    <row r="67" spans="1:6" outlineLevel="1" x14ac:dyDescent="0.25">
      <c r="A67" s="14" t="s">
        <v>113</v>
      </c>
      <c r="B67" s="14" t="s">
        <v>114</v>
      </c>
      <c r="C67" s="14" t="s">
        <v>27</v>
      </c>
      <c r="D67" s="15">
        <v>2025</v>
      </c>
      <c r="E67" s="16">
        <v>11000</v>
      </c>
      <c r="F67" s="13">
        <f>SUM(E38:E67)</f>
        <v>254584.06</v>
      </c>
    </row>
    <row r="68" spans="1:6" outlineLevel="1" x14ac:dyDescent="0.25">
      <c r="A68" s="18" t="s">
        <v>115</v>
      </c>
      <c r="B68" s="18" t="s">
        <v>116</v>
      </c>
      <c r="C68" s="18" t="s">
        <v>27</v>
      </c>
      <c r="D68" s="19">
        <v>2025</v>
      </c>
      <c r="E68" s="20">
        <v>15000</v>
      </c>
      <c r="F68" s="13">
        <f>SUM(E38:E68)</f>
        <v>269584.06</v>
      </c>
    </row>
    <row r="69" spans="1:6" outlineLevel="1" x14ac:dyDescent="0.25">
      <c r="A69" s="14" t="s">
        <v>115</v>
      </c>
      <c r="B69" s="14" t="s">
        <v>117</v>
      </c>
      <c r="C69" s="14" t="s">
        <v>27</v>
      </c>
      <c r="D69" s="15">
        <v>2025</v>
      </c>
      <c r="E69" s="16">
        <v>10000</v>
      </c>
      <c r="F69" s="13">
        <f>SUM(E38:E69)</f>
        <v>279584.06</v>
      </c>
    </row>
    <row r="70" spans="1:6" outlineLevel="1" x14ac:dyDescent="0.25">
      <c r="A70" s="18" t="s">
        <v>118</v>
      </c>
      <c r="B70" s="18" t="s">
        <v>119</v>
      </c>
      <c r="C70" s="18" t="s">
        <v>27</v>
      </c>
      <c r="D70" s="19">
        <v>2025</v>
      </c>
      <c r="E70" s="20">
        <v>15000</v>
      </c>
      <c r="F70" s="13">
        <f>SUM(E38:E70)</f>
        <v>294584.06</v>
      </c>
    </row>
    <row r="71" spans="1:6" outlineLevel="1" x14ac:dyDescent="0.25">
      <c r="A71" s="14" t="s">
        <v>120</v>
      </c>
      <c r="B71" s="14" t="s">
        <v>121</v>
      </c>
      <c r="C71" s="14" t="s">
        <v>27</v>
      </c>
      <c r="D71" s="15">
        <v>2025</v>
      </c>
      <c r="E71" s="16">
        <v>6500</v>
      </c>
      <c r="F71" s="13">
        <f>SUM(E38:E71)</f>
        <v>301084.06</v>
      </c>
    </row>
    <row r="72" spans="1:6" outlineLevel="1" x14ac:dyDescent="0.25">
      <c r="A72" s="18" t="s">
        <v>122</v>
      </c>
      <c r="B72" s="18" t="s">
        <v>123</v>
      </c>
      <c r="C72" s="18" t="s">
        <v>27</v>
      </c>
      <c r="D72" s="19">
        <v>2025</v>
      </c>
      <c r="E72" s="20">
        <v>3500</v>
      </c>
      <c r="F72" s="13">
        <f>SUM(E38:E72)</f>
        <v>304584.06</v>
      </c>
    </row>
    <row r="73" spans="1:6" outlineLevel="1" x14ac:dyDescent="0.25">
      <c r="A73" s="14" t="s">
        <v>122</v>
      </c>
      <c r="B73" s="14" t="s">
        <v>124</v>
      </c>
      <c r="C73" s="14" t="s">
        <v>27</v>
      </c>
      <c r="D73" s="15">
        <v>2025</v>
      </c>
      <c r="E73" s="16">
        <v>3500</v>
      </c>
      <c r="F73" s="13">
        <f>SUM(E38:E73)</f>
        <v>308084.06</v>
      </c>
    </row>
    <row r="74" spans="1:6" outlineLevel="1" x14ac:dyDescent="0.25">
      <c r="A74" s="18" t="s">
        <v>125</v>
      </c>
      <c r="B74" s="18" t="s">
        <v>126</v>
      </c>
      <c r="C74" s="18" t="s">
        <v>27</v>
      </c>
      <c r="D74" s="19">
        <v>2025</v>
      </c>
      <c r="E74" s="20">
        <v>8000.04</v>
      </c>
      <c r="F74" s="13">
        <f>SUM(E38:E74)</f>
        <v>316084.09999999998</v>
      </c>
    </row>
    <row r="75" spans="1:6" outlineLevel="1" x14ac:dyDescent="0.25">
      <c r="A75" s="14" t="s">
        <v>125</v>
      </c>
      <c r="B75" s="14" t="s">
        <v>127</v>
      </c>
      <c r="C75" s="14" t="s">
        <v>27</v>
      </c>
      <c r="D75" s="15">
        <v>2025</v>
      </c>
      <c r="E75" s="16">
        <v>6000</v>
      </c>
      <c r="F75" s="13">
        <f>SUM(E38:E75)</f>
        <v>322084.09999999998</v>
      </c>
    </row>
    <row r="76" spans="1:6" outlineLevel="1" x14ac:dyDescent="0.25">
      <c r="A76" s="18" t="s">
        <v>125</v>
      </c>
      <c r="B76" s="18" t="s">
        <v>128</v>
      </c>
      <c r="C76" s="18" t="s">
        <v>27</v>
      </c>
      <c r="D76" s="19">
        <v>2025</v>
      </c>
      <c r="E76" s="20">
        <v>4000.01</v>
      </c>
      <c r="F76" s="13">
        <f>SUM(E38:E76)</f>
        <v>326084.11</v>
      </c>
    </row>
    <row r="77" spans="1:6" outlineLevel="1" x14ac:dyDescent="0.25">
      <c r="A77" s="14" t="s">
        <v>125</v>
      </c>
      <c r="B77" s="14" t="s">
        <v>129</v>
      </c>
      <c r="C77" s="14" t="s">
        <v>27</v>
      </c>
      <c r="D77" s="15">
        <v>2025</v>
      </c>
      <c r="E77" s="16">
        <v>5000</v>
      </c>
      <c r="F77" s="13">
        <f>SUM(E38:E77)</f>
        <v>331084.11</v>
      </c>
    </row>
    <row r="78" spans="1:6" outlineLevel="1" x14ac:dyDescent="0.25">
      <c r="A78" s="18" t="s">
        <v>125</v>
      </c>
      <c r="B78" s="18" t="s">
        <v>130</v>
      </c>
      <c r="C78" s="18" t="s">
        <v>27</v>
      </c>
      <c r="D78" s="19">
        <v>2025</v>
      </c>
      <c r="E78" s="20">
        <v>6500</v>
      </c>
      <c r="F78" s="13">
        <f>SUM(E38:E78)</f>
        <v>337584.11</v>
      </c>
    </row>
    <row r="79" spans="1:6" outlineLevel="1" x14ac:dyDescent="0.25">
      <c r="A79" s="14" t="s">
        <v>131</v>
      </c>
      <c r="B79" s="14" t="s">
        <v>132</v>
      </c>
      <c r="C79" s="14" t="s">
        <v>27</v>
      </c>
      <c r="D79" s="15">
        <v>2025</v>
      </c>
      <c r="E79" s="16">
        <v>4000</v>
      </c>
      <c r="F79" s="13">
        <f>SUM(E38:E79)</f>
        <v>341584.11</v>
      </c>
    </row>
    <row r="80" spans="1:6" outlineLevel="1" x14ac:dyDescent="0.25">
      <c r="A80" s="18" t="s">
        <v>131</v>
      </c>
      <c r="B80" s="18" t="s">
        <v>133</v>
      </c>
      <c r="C80" s="18" t="s">
        <v>27</v>
      </c>
      <c r="D80" s="19">
        <v>2025</v>
      </c>
      <c r="E80" s="20">
        <v>8000.04</v>
      </c>
      <c r="F80" s="13">
        <f>SUM(E38:E80)</f>
        <v>349584.14999999997</v>
      </c>
    </row>
    <row r="81" spans="1:6" outlineLevel="1" x14ac:dyDescent="0.25">
      <c r="A81" s="14" t="s">
        <v>134</v>
      </c>
      <c r="B81" s="14" t="s">
        <v>135</v>
      </c>
      <c r="C81" s="14" t="s">
        <v>27</v>
      </c>
      <c r="D81" s="15">
        <v>2025</v>
      </c>
      <c r="E81" s="16">
        <v>10000</v>
      </c>
      <c r="F81" s="13">
        <f>SUM(E38:E81)</f>
        <v>359584.14999999997</v>
      </c>
    </row>
    <row r="82" spans="1:6" outlineLevel="1" x14ac:dyDescent="0.25">
      <c r="A82" s="18" t="s">
        <v>134</v>
      </c>
      <c r="B82" s="18" t="s">
        <v>136</v>
      </c>
      <c r="C82" s="18" t="s">
        <v>27</v>
      </c>
      <c r="D82" s="19">
        <v>2025</v>
      </c>
      <c r="E82" s="20">
        <v>5000</v>
      </c>
      <c r="F82" s="13">
        <f>SUM(E38:E82)</f>
        <v>364584.14999999997</v>
      </c>
    </row>
    <row r="83" spans="1:6" outlineLevel="1" x14ac:dyDescent="0.25">
      <c r="A83" s="14" t="s">
        <v>134</v>
      </c>
      <c r="B83" s="14" t="s">
        <v>137</v>
      </c>
      <c r="C83" s="14" t="s">
        <v>27</v>
      </c>
      <c r="D83" s="15">
        <v>2025</v>
      </c>
      <c r="E83" s="16">
        <v>5000</v>
      </c>
      <c r="F83" s="13">
        <f>SUM(E38:E83)</f>
        <v>369584.14999999997</v>
      </c>
    </row>
    <row r="84" spans="1:6" outlineLevel="1" x14ac:dyDescent="0.25">
      <c r="A84" s="18" t="s">
        <v>134</v>
      </c>
      <c r="B84" s="18" t="s">
        <v>138</v>
      </c>
      <c r="C84" s="18" t="s">
        <v>27</v>
      </c>
      <c r="D84" s="19">
        <v>2025</v>
      </c>
      <c r="E84" s="20">
        <v>5000</v>
      </c>
      <c r="F84" s="13">
        <f>SUM(E38:E84)</f>
        <v>374584.14999999997</v>
      </c>
    </row>
    <row r="85" spans="1:6" outlineLevel="1" x14ac:dyDescent="0.25">
      <c r="A85" s="14" t="s">
        <v>134</v>
      </c>
      <c r="B85" s="14" t="s">
        <v>139</v>
      </c>
      <c r="C85" s="14" t="s">
        <v>27</v>
      </c>
      <c r="D85" s="15">
        <v>2025</v>
      </c>
      <c r="E85" s="16">
        <v>10000</v>
      </c>
      <c r="F85" s="13">
        <f>SUM(E38:E85)</f>
        <v>384584.14999999997</v>
      </c>
    </row>
    <row r="86" spans="1:6" outlineLevel="1" x14ac:dyDescent="0.25">
      <c r="A86" s="18" t="s">
        <v>140</v>
      </c>
      <c r="B86" s="18" t="s">
        <v>141</v>
      </c>
      <c r="C86" s="18" t="s">
        <v>27</v>
      </c>
      <c r="D86" s="19">
        <v>2025</v>
      </c>
      <c r="E86" s="20">
        <v>5500</v>
      </c>
      <c r="F86" s="13">
        <f>SUM(E38:E86)</f>
        <v>390084.14999999997</v>
      </c>
    </row>
    <row r="87" spans="1:6" outlineLevel="1" x14ac:dyDescent="0.25">
      <c r="A87" s="14" t="s">
        <v>140</v>
      </c>
      <c r="B87" s="14" t="s">
        <v>142</v>
      </c>
      <c r="C87" s="14" t="s">
        <v>27</v>
      </c>
      <c r="D87" s="15">
        <v>2025</v>
      </c>
      <c r="E87" s="16">
        <v>4000</v>
      </c>
      <c r="F87" s="13">
        <f>SUM(E38:E87)</f>
        <v>394084.14999999997</v>
      </c>
    </row>
    <row r="88" spans="1:6" outlineLevel="1" x14ac:dyDescent="0.25">
      <c r="A88" s="18" t="s">
        <v>140</v>
      </c>
      <c r="B88" s="18" t="s">
        <v>143</v>
      </c>
      <c r="C88" s="18" t="s">
        <v>27</v>
      </c>
      <c r="D88" s="19">
        <v>2025</v>
      </c>
      <c r="E88" s="20">
        <v>8000</v>
      </c>
      <c r="F88" s="13">
        <f>SUM(E38:E88)</f>
        <v>402084.14999999997</v>
      </c>
    </row>
    <row r="89" spans="1:6" outlineLevel="1" x14ac:dyDescent="0.25">
      <c r="A89" s="14" t="s">
        <v>144</v>
      </c>
      <c r="B89" s="14" t="s">
        <v>145</v>
      </c>
      <c r="C89" s="14" t="s">
        <v>27</v>
      </c>
      <c r="D89" s="15">
        <v>2025</v>
      </c>
      <c r="E89" s="16">
        <v>10000</v>
      </c>
      <c r="F89" s="13">
        <f>SUM(E38:E89)</f>
        <v>412084.14999999997</v>
      </c>
    </row>
    <row r="90" spans="1:6" outlineLevel="1" x14ac:dyDescent="0.25">
      <c r="A90" s="18" t="s">
        <v>146</v>
      </c>
      <c r="B90" s="18" t="s">
        <v>85</v>
      </c>
      <c r="C90" s="18" t="s">
        <v>27</v>
      </c>
      <c r="D90" s="19">
        <v>2025</v>
      </c>
      <c r="E90" s="20">
        <v>2500</v>
      </c>
      <c r="F90" s="13">
        <f>SUM(E38:E90)</f>
        <v>414584.14999999997</v>
      </c>
    </row>
    <row r="91" spans="1:6" outlineLevel="1" x14ac:dyDescent="0.25">
      <c r="A91" s="14" t="s">
        <v>147</v>
      </c>
      <c r="B91" s="14" t="s">
        <v>148</v>
      </c>
      <c r="C91" s="14" t="s">
        <v>27</v>
      </c>
      <c r="D91" s="15">
        <v>2025</v>
      </c>
      <c r="E91" s="16">
        <v>12000</v>
      </c>
      <c r="F91" s="13">
        <f>SUM(E38:E91)</f>
        <v>426584.14999999997</v>
      </c>
    </row>
    <row r="92" spans="1:6" outlineLevel="1" x14ac:dyDescent="0.25">
      <c r="A92" s="18" t="s">
        <v>147</v>
      </c>
      <c r="B92" s="18" t="s">
        <v>149</v>
      </c>
      <c r="C92" s="18" t="s">
        <v>27</v>
      </c>
      <c r="D92" s="19">
        <v>2025</v>
      </c>
      <c r="E92" s="20">
        <v>1500</v>
      </c>
      <c r="F92" s="13">
        <f>SUM(E38:E92)</f>
        <v>428084.14999999997</v>
      </c>
    </row>
    <row r="93" spans="1:6" outlineLevel="1" x14ac:dyDescent="0.25">
      <c r="A93" s="14" t="s">
        <v>147</v>
      </c>
      <c r="B93" s="14" t="s">
        <v>150</v>
      </c>
      <c r="C93" s="14" t="s">
        <v>27</v>
      </c>
      <c r="D93" s="15">
        <v>2025</v>
      </c>
      <c r="E93" s="16">
        <v>6500.04</v>
      </c>
      <c r="F93" s="13">
        <f>SUM(E38:E93)</f>
        <v>434584.18999999994</v>
      </c>
    </row>
    <row r="94" spans="1:6" outlineLevel="1" x14ac:dyDescent="0.25">
      <c r="A94" s="18" t="s">
        <v>151</v>
      </c>
      <c r="B94" s="18" t="s">
        <v>152</v>
      </c>
      <c r="C94" s="18" t="s">
        <v>27</v>
      </c>
      <c r="D94" s="19">
        <v>2025</v>
      </c>
      <c r="E94" s="20">
        <v>10000</v>
      </c>
      <c r="F94" s="13">
        <f>SUM(E38:E94)</f>
        <v>444584.18999999994</v>
      </c>
    </row>
    <row r="95" spans="1:6" outlineLevel="1" x14ac:dyDescent="0.25">
      <c r="A95" s="14" t="s">
        <v>151</v>
      </c>
      <c r="B95" s="14" t="s">
        <v>153</v>
      </c>
      <c r="C95" s="14" t="s">
        <v>27</v>
      </c>
      <c r="D95" s="15">
        <v>2025</v>
      </c>
      <c r="E95" s="16">
        <v>10000</v>
      </c>
      <c r="F95" s="13">
        <f>SUM(E38:E95)</f>
        <v>454584.18999999994</v>
      </c>
    </row>
    <row r="96" spans="1:6" outlineLevel="1" x14ac:dyDescent="0.25">
      <c r="A96" s="18" t="s">
        <v>154</v>
      </c>
      <c r="B96" s="18" t="s">
        <v>155</v>
      </c>
      <c r="C96" s="18" t="s">
        <v>27</v>
      </c>
      <c r="D96" s="19">
        <v>2025</v>
      </c>
      <c r="E96" s="20">
        <v>3500</v>
      </c>
      <c r="F96" s="13">
        <f>SUM(E38:E96)</f>
        <v>458084.18999999994</v>
      </c>
    </row>
    <row r="97" spans="1:6" outlineLevel="1" x14ac:dyDescent="0.25">
      <c r="A97" s="14" t="s">
        <v>156</v>
      </c>
      <c r="B97" s="14" t="s">
        <v>157</v>
      </c>
      <c r="C97" s="14" t="s">
        <v>27</v>
      </c>
      <c r="D97" s="15">
        <v>2025</v>
      </c>
      <c r="E97" s="16">
        <v>10000</v>
      </c>
      <c r="F97" s="13">
        <f>SUM(E38:E97)</f>
        <v>468084.18999999994</v>
      </c>
    </row>
    <row r="98" spans="1:6" outlineLevel="1" x14ac:dyDescent="0.25">
      <c r="A98" s="18" t="s">
        <v>156</v>
      </c>
      <c r="B98" s="18" t="s">
        <v>158</v>
      </c>
      <c r="C98" s="18" t="s">
        <v>27</v>
      </c>
      <c r="D98" s="19">
        <v>2025</v>
      </c>
      <c r="E98" s="20">
        <v>7000</v>
      </c>
      <c r="F98" s="13">
        <f>SUM(E38:E98)</f>
        <v>475084.18999999994</v>
      </c>
    </row>
    <row r="99" spans="1:6" outlineLevel="1" x14ac:dyDescent="0.25">
      <c r="A99" s="14" t="s">
        <v>159</v>
      </c>
      <c r="B99" s="14" t="s">
        <v>160</v>
      </c>
      <c r="C99" s="14" t="s">
        <v>27</v>
      </c>
      <c r="D99" s="15">
        <v>2025</v>
      </c>
      <c r="E99" s="16">
        <v>10000</v>
      </c>
      <c r="F99" s="13">
        <f>SUM(E38:E99)</f>
        <v>485084.18999999994</v>
      </c>
    </row>
    <row r="100" spans="1:6" outlineLevel="1" x14ac:dyDescent="0.25">
      <c r="A100" s="18" t="s">
        <v>159</v>
      </c>
      <c r="B100" s="18" t="s">
        <v>161</v>
      </c>
      <c r="C100" s="18" t="s">
        <v>27</v>
      </c>
      <c r="D100" s="19">
        <v>2025</v>
      </c>
      <c r="E100" s="20">
        <v>5000</v>
      </c>
      <c r="F100" s="13">
        <f>SUM(E38:E100)</f>
        <v>490084.18999999994</v>
      </c>
    </row>
    <row r="101" spans="1:6" outlineLevel="1" x14ac:dyDescent="0.25">
      <c r="A101" s="14" t="s">
        <v>159</v>
      </c>
      <c r="B101" s="14" t="s">
        <v>162</v>
      </c>
      <c r="C101" s="14" t="s">
        <v>27</v>
      </c>
      <c r="D101" s="15">
        <v>2025</v>
      </c>
      <c r="E101" s="16">
        <v>2500</v>
      </c>
      <c r="F101" s="13">
        <f>SUM(E38:E101)</f>
        <v>492584.18999999994</v>
      </c>
    </row>
    <row r="102" spans="1:6" outlineLevel="1" x14ac:dyDescent="0.25">
      <c r="A102" s="18" t="s">
        <v>163</v>
      </c>
      <c r="B102" s="18" t="s">
        <v>164</v>
      </c>
      <c r="C102" s="18" t="s">
        <v>27</v>
      </c>
      <c r="D102" s="19">
        <v>2025</v>
      </c>
      <c r="E102" s="20">
        <v>9500</v>
      </c>
      <c r="F102" s="13">
        <f>SUM(E38:E102)</f>
        <v>502084.18999999994</v>
      </c>
    </row>
    <row r="103" spans="1:6" outlineLevel="1" x14ac:dyDescent="0.25">
      <c r="A103" s="14" t="s">
        <v>163</v>
      </c>
      <c r="B103" s="14" t="s">
        <v>165</v>
      </c>
      <c r="C103" s="14" t="s">
        <v>27</v>
      </c>
      <c r="D103" s="15">
        <v>2025</v>
      </c>
      <c r="E103" s="16">
        <v>3500</v>
      </c>
      <c r="F103" s="13">
        <f>SUM(E38:E103)</f>
        <v>505584.18999999994</v>
      </c>
    </row>
    <row r="104" spans="1:6" outlineLevel="1" x14ac:dyDescent="0.25">
      <c r="A104" s="18" t="s">
        <v>166</v>
      </c>
      <c r="B104" s="18" t="s">
        <v>167</v>
      </c>
      <c r="C104" s="18" t="s">
        <v>27</v>
      </c>
      <c r="D104" s="19">
        <v>2025</v>
      </c>
      <c r="E104" s="20">
        <v>5000</v>
      </c>
      <c r="F104" s="13">
        <f>SUM(E38:E104)</f>
        <v>510584.18999999994</v>
      </c>
    </row>
    <row r="105" spans="1:6" outlineLevel="1" x14ac:dyDescent="0.25">
      <c r="A105" s="14" t="s">
        <v>168</v>
      </c>
      <c r="B105" s="14" t="s">
        <v>169</v>
      </c>
      <c r="C105" s="14" t="s">
        <v>27</v>
      </c>
      <c r="D105" s="15">
        <v>2025</v>
      </c>
      <c r="E105" s="16">
        <v>8500</v>
      </c>
      <c r="F105" s="13">
        <f>SUM(E38:E105)</f>
        <v>519084.18999999994</v>
      </c>
    </row>
    <row r="106" spans="1:6" outlineLevel="1" x14ac:dyDescent="0.25">
      <c r="A106" s="18" t="s">
        <v>168</v>
      </c>
      <c r="B106" s="18" t="s">
        <v>170</v>
      </c>
      <c r="C106" s="18" t="s">
        <v>27</v>
      </c>
      <c r="D106" s="19">
        <v>2025</v>
      </c>
      <c r="E106" s="20">
        <v>6000.03</v>
      </c>
      <c r="F106" s="13">
        <f>SUM(E38:E106)</f>
        <v>525084.22</v>
      </c>
    </row>
    <row r="107" spans="1:6" outlineLevel="1" x14ac:dyDescent="0.25">
      <c r="A107" s="14" t="s">
        <v>168</v>
      </c>
      <c r="B107" s="14" t="s">
        <v>171</v>
      </c>
      <c r="C107" s="14" t="s">
        <v>27</v>
      </c>
      <c r="D107" s="15">
        <v>2025</v>
      </c>
      <c r="E107" s="16">
        <v>4000</v>
      </c>
      <c r="F107" s="13">
        <f>SUM(E38:E107)</f>
        <v>529084.22</v>
      </c>
    </row>
    <row r="108" spans="1:6" outlineLevel="1" x14ac:dyDescent="0.25">
      <c r="A108" s="18" t="s">
        <v>172</v>
      </c>
      <c r="B108" s="18" t="s">
        <v>173</v>
      </c>
      <c r="C108" s="18" t="s">
        <v>27</v>
      </c>
      <c r="D108" s="19">
        <v>2025</v>
      </c>
      <c r="E108" s="20">
        <v>6000.03</v>
      </c>
      <c r="F108" s="13">
        <f>SUM(E38:E108)</f>
        <v>535084.25</v>
      </c>
    </row>
    <row r="109" spans="1:6" outlineLevel="1" x14ac:dyDescent="0.25">
      <c r="A109" s="14" t="s">
        <v>174</v>
      </c>
      <c r="B109" s="14" t="s">
        <v>175</v>
      </c>
      <c r="C109" s="14" t="s">
        <v>27</v>
      </c>
      <c r="D109" s="15">
        <v>2025</v>
      </c>
      <c r="E109" s="16">
        <v>3500</v>
      </c>
      <c r="F109" s="13">
        <f>SUM(E38:E109)</f>
        <v>538584.25</v>
      </c>
    </row>
    <row r="110" spans="1:6" outlineLevel="1" x14ac:dyDescent="0.25">
      <c r="A110" s="18" t="s">
        <v>176</v>
      </c>
      <c r="B110" s="18" t="s">
        <v>177</v>
      </c>
      <c r="C110" s="18" t="s">
        <v>27</v>
      </c>
      <c r="D110" s="19">
        <v>2025</v>
      </c>
      <c r="E110" s="20">
        <v>3500</v>
      </c>
      <c r="F110" s="13">
        <f>SUM(E38:E110)</f>
        <v>542084.25</v>
      </c>
    </row>
    <row r="111" spans="1:6" outlineLevel="1" x14ac:dyDescent="0.25">
      <c r="A111" s="14" t="s">
        <v>176</v>
      </c>
      <c r="B111" s="14" t="s">
        <v>178</v>
      </c>
      <c r="C111" s="14" t="s">
        <v>27</v>
      </c>
      <c r="D111" s="15">
        <v>2025</v>
      </c>
      <c r="E111" s="16">
        <v>10000</v>
      </c>
      <c r="F111" s="13">
        <f>SUM(E38:E111)</f>
        <v>552084.25</v>
      </c>
    </row>
    <row r="112" spans="1:6" outlineLevel="1" x14ac:dyDescent="0.25">
      <c r="A112" s="18" t="s">
        <v>179</v>
      </c>
      <c r="B112" s="18" t="s">
        <v>180</v>
      </c>
      <c r="C112" s="18" t="s">
        <v>27</v>
      </c>
      <c r="D112" s="19">
        <v>2025</v>
      </c>
      <c r="E112" s="20">
        <v>5500</v>
      </c>
      <c r="F112" s="13">
        <f>SUM(E38:E112)</f>
        <v>557584.25</v>
      </c>
    </row>
    <row r="113" spans="1:6" outlineLevel="1" x14ac:dyDescent="0.25">
      <c r="A113" s="14" t="s">
        <v>181</v>
      </c>
      <c r="B113" s="14" t="s">
        <v>182</v>
      </c>
      <c r="C113" s="14" t="s">
        <v>27</v>
      </c>
      <c r="D113" s="15">
        <v>2025</v>
      </c>
      <c r="E113" s="16">
        <v>10000</v>
      </c>
      <c r="F113" s="13">
        <f>SUM(E38:E113)</f>
        <v>567584.25</v>
      </c>
    </row>
    <row r="114" spans="1:6" outlineLevel="1" x14ac:dyDescent="0.25">
      <c r="A114" s="18" t="s">
        <v>183</v>
      </c>
      <c r="B114" s="18" t="s">
        <v>184</v>
      </c>
      <c r="C114" s="18" t="s">
        <v>27</v>
      </c>
      <c r="D114" s="19">
        <v>2025</v>
      </c>
      <c r="E114" s="20">
        <v>10000</v>
      </c>
      <c r="F114" s="13">
        <f>SUM(E38:E114)</f>
        <v>577584.25</v>
      </c>
    </row>
    <row r="115" spans="1:6" outlineLevel="1" x14ac:dyDescent="0.25">
      <c r="A115" s="14" t="s">
        <v>183</v>
      </c>
      <c r="B115" s="14" t="s">
        <v>185</v>
      </c>
      <c r="C115" s="14" t="s">
        <v>27</v>
      </c>
      <c r="D115" s="15">
        <v>2025</v>
      </c>
      <c r="E115" s="16">
        <v>4000.04</v>
      </c>
      <c r="F115" s="13">
        <f>SUM(E38:E115)</f>
        <v>581584.29</v>
      </c>
    </row>
    <row r="116" spans="1:6" outlineLevel="1" x14ac:dyDescent="0.25">
      <c r="A116" s="18" t="s">
        <v>186</v>
      </c>
      <c r="B116" s="18" t="s">
        <v>165</v>
      </c>
      <c r="C116" s="18" t="s">
        <v>27</v>
      </c>
      <c r="D116" s="19">
        <v>2025</v>
      </c>
      <c r="E116" s="20">
        <v>4000.02</v>
      </c>
      <c r="F116" s="13">
        <f>SUM(E38:E116)</f>
        <v>585584.31000000006</v>
      </c>
    </row>
    <row r="117" spans="1:6" outlineLevel="1" x14ac:dyDescent="0.25">
      <c r="A117" s="14" t="s">
        <v>187</v>
      </c>
      <c r="B117" s="14" t="s">
        <v>188</v>
      </c>
      <c r="C117" s="14" t="s">
        <v>27</v>
      </c>
      <c r="D117" s="15">
        <v>2025</v>
      </c>
      <c r="E117" s="16">
        <v>2500</v>
      </c>
      <c r="F117" s="13">
        <f>SUM(E38:E117)</f>
        <v>588084.31000000006</v>
      </c>
    </row>
    <row r="118" spans="1:6" outlineLevel="1" x14ac:dyDescent="0.25">
      <c r="A118" s="18" t="s">
        <v>189</v>
      </c>
      <c r="B118" s="18" t="s">
        <v>190</v>
      </c>
      <c r="C118" s="18" t="s">
        <v>27</v>
      </c>
      <c r="D118" s="19">
        <v>2025</v>
      </c>
      <c r="E118" s="20">
        <v>10000</v>
      </c>
      <c r="F118" s="13">
        <f>SUM(E38:E118)</f>
        <v>598084.31000000006</v>
      </c>
    </row>
    <row r="119" spans="1:6" outlineLevel="1" x14ac:dyDescent="0.25">
      <c r="A119" s="14" t="s">
        <v>191</v>
      </c>
      <c r="B119" s="14" t="s">
        <v>192</v>
      </c>
      <c r="C119" s="14" t="s">
        <v>27</v>
      </c>
      <c r="D119" s="15">
        <v>2025</v>
      </c>
      <c r="E119" s="16">
        <v>6000</v>
      </c>
      <c r="F119" s="13">
        <f>SUM(E38:E119)</f>
        <v>604084.31000000006</v>
      </c>
    </row>
    <row r="120" spans="1:6" outlineLevel="1" x14ac:dyDescent="0.25">
      <c r="A120" s="18" t="s">
        <v>193</v>
      </c>
      <c r="B120" s="18" t="s">
        <v>194</v>
      </c>
      <c r="C120" s="18" t="s">
        <v>27</v>
      </c>
      <c r="D120" s="19">
        <v>2025</v>
      </c>
      <c r="E120" s="20">
        <v>8500</v>
      </c>
      <c r="F120" s="13">
        <f>SUM(E38:E120)</f>
        <v>612584.31000000006</v>
      </c>
    </row>
    <row r="121" spans="1:6" outlineLevel="1" x14ac:dyDescent="0.25">
      <c r="A121" s="14" t="s">
        <v>193</v>
      </c>
      <c r="B121" s="14" t="s">
        <v>195</v>
      </c>
      <c r="C121" s="14" t="s">
        <v>27</v>
      </c>
      <c r="D121" s="15">
        <v>2025</v>
      </c>
      <c r="E121" s="16">
        <v>1500</v>
      </c>
      <c r="F121" s="13">
        <f>SUM(E38:E121)</f>
        <v>614084.31000000006</v>
      </c>
    </row>
    <row r="122" spans="1:6" outlineLevel="1" x14ac:dyDescent="0.25">
      <c r="A122" s="18" t="s">
        <v>193</v>
      </c>
      <c r="B122" s="18" t="s">
        <v>165</v>
      </c>
      <c r="C122" s="18" t="s">
        <v>27</v>
      </c>
      <c r="D122" s="19">
        <v>2025</v>
      </c>
      <c r="E122" s="20">
        <v>4000.02</v>
      </c>
      <c r="F122" s="13">
        <f>SUM(E38:E122)</f>
        <v>618084.33000000007</v>
      </c>
    </row>
    <row r="123" spans="1:6" outlineLevel="1" x14ac:dyDescent="0.25">
      <c r="A123" s="14" t="s">
        <v>196</v>
      </c>
      <c r="B123" s="14" t="s">
        <v>197</v>
      </c>
      <c r="C123" s="14" t="s">
        <v>27</v>
      </c>
      <c r="D123" s="15">
        <v>2025</v>
      </c>
      <c r="E123" s="16">
        <v>5000</v>
      </c>
      <c r="F123" s="13">
        <f>SUM(E38:E123)</f>
        <v>623084.33000000007</v>
      </c>
    </row>
    <row r="124" spans="1:6" outlineLevel="1" x14ac:dyDescent="0.25">
      <c r="A124" s="18" t="s">
        <v>198</v>
      </c>
      <c r="B124" s="18" t="s">
        <v>199</v>
      </c>
      <c r="C124" s="18" t="s">
        <v>27</v>
      </c>
      <c r="D124" s="19">
        <v>2025</v>
      </c>
      <c r="E124" s="20">
        <v>10000</v>
      </c>
      <c r="F124" s="13">
        <f>SUM(E38:E124)</f>
        <v>633084.33000000007</v>
      </c>
    </row>
    <row r="125" spans="1:6" outlineLevel="1" x14ac:dyDescent="0.25">
      <c r="A125" s="14" t="s">
        <v>200</v>
      </c>
      <c r="B125" s="14" t="s">
        <v>201</v>
      </c>
      <c r="C125" s="14" t="s">
        <v>27</v>
      </c>
      <c r="D125" s="15">
        <v>2025</v>
      </c>
      <c r="E125" s="16">
        <v>10000</v>
      </c>
      <c r="F125" s="13">
        <f>SUM(E38:E125)</f>
        <v>643084.33000000007</v>
      </c>
    </row>
    <row r="126" spans="1:6" outlineLevel="1" x14ac:dyDescent="0.25">
      <c r="A126" s="18" t="s">
        <v>202</v>
      </c>
      <c r="B126" s="18" t="s">
        <v>203</v>
      </c>
      <c r="C126" s="18" t="s">
        <v>27</v>
      </c>
      <c r="D126" s="19">
        <v>2025</v>
      </c>
      <c r="E126" s="20">
        <v>4000.02</v>
      </c>
      <c r="F126" s="13">
        <f>SUM(E38:E126)</f>
        <v>647084.35000000009</v>
      </c>
    </row>
    <row r="127" spans="1:6" outlineLevel="1" x14ac:dyDescent="0.25">
      <c r="A127" s="14" t="s">
        <v>202</v>
      </c>
      <c r="B127" s="14" t="s">
        <v>204</v>
      </c>
      <c r="C127" s="14" t="s">
        <v>27</v>
      </c>
      <c r="D127" s="15">
        <v>2025</v>
      </c>
      <c r="E127" s="16">
        <v>500</v>
      </c>
      <c r="F127" s="13">
        <f>SUM(E38:E127)</f>
        <v>647584.35000000009</v>
      </c>
    </row>
    <row r="128" spans="1:6" outlineLevel="1" x14ac:dyDescent="0.25">
      <c r="A128" s="18" t="s">
        <v>202</v>
      </c>
      <c r="B128" s="18" t="s">
        <v>205</v>
      </c>
      <c r="C128" s="18" t="s">
        <v>27</v>
      </c>
      <c r="D128" s="19">
        <v>2025</v>
      </c>
      <c r="E128" s="20">
        <v>4000.02</v>
      </c>
      <c r="F128" s="13">
        <f>SUM(E38:E128)</f>
        <v>651584.37000000011</v>
      </c>
    </row>
    <row r="129" spans="1:6" outlineLevel="1" x14ac:dyDescent="0.25">
      <c r="A129" s="14" t="s">
        <v>206</v>
      </c>
      <c r="B129" s="14" t="s">
        <v>207</v>
      </c>
      <c r="C129" s="14" t="s">
        <v>27</v>
      </c>
      <c r="D129" s="15">
        <v>2025</v>
      </c>
      <c r="E129" s="16">
        <v>16000</v>
      </c>
      <c r="F129" s="13">
        <f>SUM(E38:E129)</f>
        <v>667584.37000000011</v>
      </c>
    </row>
    <row r="130" spans="1:6" outlineLevel="1" x14ac:dyDescent="0.25">
      <c r="A130" s="18" t="s">
        <v>208</v>
      </c>
      <c r="B130" s="18" t="s">
        <v>209</v>
      </c>
      <c r="C130" s="18" t="s">
        <v>27</v>
      </c>
      <c r="D130" s="19">
        <v>2025</v>
      </c>
      <c r="E130" s="20">
        <v>10000</v>
      </c>
      <c r="F130" s="13">
        <f>SUM(E38:E130)</f>
        <v>677584.37000000011</v>
      </c>
    </row>
    <row r="131" spans="1:6" outlineLevel="1" x14ac:dyDescent="0.25">
      <c r="A131" s="14" t="s">
        <v>208</v>
      </c>
      <c r="B131" s="14" t="s">
        <v>210</v>
      </c>
      <c r="C131" s="14" t="s">
        <v>27</v>
      </c>
      <c r="D131" s="15">
        <v>2025</v>
      </c>
      <c r="E131" s="16">
        <v>10000</v>
      </c>
      <c r="F131" s="13">
        <f>SUM(E38:E131)</f>
        <v>687584.37000000011</v>
      </c>
    </row>
    <row r="132" spans="1:6" outlineLevel="1" x14ac:dyDescent="0.25">
      <c r="A132" s="18" t="s">
        <v>208</v>
      </c>
      <c r="B132" s="18" t="s">
        <v>211</v>
      </c>
      <c r="C132" s="18" t="s">
        <v>27</v>
      </c>
      <c r="D132" s="19">
        <v>2025</v>
      </c>
      <c r="E132" s="20">
        <v>10000</v>
      </c>
      <c r="F132" s="13">
        <f>SUM(E38:E132)</f>
        <v>697584.37000000011</v>
      </c>
    </row>
    <row r="133" spans="1:6" outlineLevel="1" x14ac:dyDescent="0.25">
      <c r="A133" s="14" t="s">
        <v>212</v>
      </c>
      <c r="B133" s="14" t="s">
        <v>60</v>
      </c>
      <c r="C133" s="14" t="s">
        <v>27</v>
      </c>
      <c r="D133" s="15">
        <v>2025</v>
      </c>
      <c r="E133" s="16">
        <v>6500</v>
      </c>
      <c r="F133" s="13">
        <f>SUM(E38:E133)</f>
        <v>704084.37000000011</v>
      </c>
    </row>
    <row r="134" spans="1:6" outlineLevel="1" x14ac:dyDescent="0.25">
      <c r="A134" s="18" t="s">
        <v>212</v>
      </c>
      <c r="B134" s="18" t="s">
        <v>97</v>
      </c>
      <c r="C134" s="18" t="s">
        <v>27</v>
      </c>
      <c r="D134" s="19">
        <v>2025</v>
      </c>
      <c r="E134" s="20">
        <v>4000</v>
      </c>
      <c r="F134" s="13">
        <f>SUM(E38:E134)</f>
        <v>708084.37000000011</v>
      </c>
    </row>
    <row r="135" spans="1:6" outlineLevel="1" x14ac:dyDescent="0.25">
      <c r="A135" s="14" t="s">
        <v>212</v>
      </c>
      <c r="B135" s="14" t="s">
        <v>213</v>
      </c>
      <c r="C135" s="14" t="s">
        <v>27</v>
      </c>
      <c r="D135" s="15">
        <v>2025</v>
      </c>
      <c r="E135" s="16">
        <v>7000.02</v>
      </c>
      <c r="F135" s="13">
        <f>SUM(E38:E135)</f>
        <v>715084.39000000013</v>
      </c>
    </row>
    <row r="136" spans="1:6" outlineLevel="1" x14ac:dyDescent="0.25">
      <c r="A136" s="18" t="s">
        <v>212</v>
      </c>
      <c r="B136" s="18" t="s">
        <v>214</v>
      </c>
      <c r="C136" s="18" t="s">
        <v>27</v>
      </c>
      <c r="D136" s="19">
        <v>2025</v>
      </c>
      <c r="E136" s="20">
        <v>2000</v>
      </c>
      <c r="F136" s="13">
        <f>SUM(E38:E136)</f>
        <v>717084.39000000013</v>
      </c>
    </row>
    <row r="137" spans="1:6" outlineLevel="1" x14ac:dyDescent="0.25">
      <c r="A137" s="14" t="s">
        <v>212</v>
      </c>
      <c r="B137" s="14" t="s">
        <v>215</v>
      </c>
      <c r="C137" s="14" t="s">
        <v>27</v>
      </c>
      <c r="D137" s="15">
        <v>2025</v>
      </c>
      <c r="E137" s="16">
        <v>6000.03</v>
      </c>
      <c r="F137" s="13">
        <f>SUM(E38:E137)</f>
        <v>723084.42000000016</v>
      </c>
    </row>
    <row r="138" spans="1:6" outlineLevel="1" x14ac:dyDescent="0.25">
      <c r="A138" s="18" t="s">
        <v>212</v>
      </c>
      <c r="B138" s="18" t="s">
        <v>216</v>
      </c>
      <c r="C138" s="18" t="s">
        <v>27</v>
      </c>
      <c r="D138" s="19">
        <v>2025</v>
      </c>
      <c r="E138" s="20">
        <v>5000</v>
      </c>
      <c r="F138" s="13">
        <f>SUM(E38:E138)</f>
        <v>728084.42000000016</v>
      </c>
    </row>
    <row r="139" spans="1:6" outlineLevel="1" x14ac:dyDescent="0.25">
      <c r="A139" s="14" t="s">
        <v>217</v>
      </c>
      <c r="B139" s="14" t="s">
        <v>218</v>
      </c>
      <c r="C139" s="14" t="s">
        <v>27</v>
      </c>
      <c r="D139" s="15">
        <v>2025</v>
      </c>
      <c r="E139" s="16">
        <v>23000</v>
      </c>
      <c r="F139" s="13">
        <f>SUM(E38:E139)</f>
        <v>751084.42000000016</v>
      </c>
    </row>
    <row r="140" spans="1:6" outlineLevel="1" x14ac:dyDescent="0.25">
      <c r="A140" s="18" t="s">
        <v>219</v>
      </c>
      <c r="B140" s="18" t="s">
        <v>220</v>
      </c>
      <c r="C140" s="18" t="s">
        <v>27</v>
      </c>
      <c r="D140" s="19">
        <v>2025</v>
      </c>
      <c r="E140" s="20">
        <v>6000.03</v>
      </c>
      <c r="F140" s="13">
        <f>SUM(E38:E140)</f>
        <v>757084.45000000019</v>
      </c>
    </row>
    <row r="141" spans="1:6" outlineLevel="1" x14ac:dyDescent="0.25">
      <c r="A141" s="14" t="s">
        <v>219</v>
      </c>
      <c r="B141" s="14" t="s">
        <v>192</v>
      </c>
      <c r="C141" s="14" t="s">
        <v>27</v>
      </c>
      <c r="D141" s="15">
        <v>2025</v>
      </c>
      <c r="E141" s="16">
        <v>5500</v>
      </c>
      <c r="F141" s="13">
        <f>SUM(E38:E141)</f>
        <v>762584.45000000019</v>
      </c>
    </row>
    <row r="142" spans="1:6" outlineLevel="1" x14ac:dyDescent="0.25">
      <c r="A142" s="18" t="s">
        <v>221</v>
      </c>
      <c r="B142" s="18" t="s">
        <v>222</v>
      </c>
      <c r="C142" s="18" t="s">
        <v>27</v>
      </c>
      <c r="D142" s="19">
        <v>2025</v>
      </c>
      <c r="E142" s="20">
        <v>8000.04</v>
      </c>
      <c r="F142" s="13">
        <f>SUM(E38:E142)</f>
        <v>770584.49000000022</v>
      </c>
    </row>
    <row r="143" spans="1:6" outlineLevel="1" x14ac:dyDescent="0.25">
      <c r="A143" s="14" t="s">
        <v>223</v>
      </c>
      <c r="B143" s="14" t="s">
        <v>224</v>
      </c>
      <c r="C143" s="14" t="s">
        <v>27</v>
      </c>
      <c r="D143" s="15">
        <v>2025</v>
      </c>
      <c r="E143" s="16">
        <v>10000</v>
      </c>
      <c r="F143" s="13">
        <f>SUM(E38:E143)</f>
        <v>780584.49000000022</v>
      </c>
    </row>
    <row r="144" spans="1:6" outlineLevel="1" x14ac:dyDescent="0.25">
      <c r="A144" s="18" t="s">
        <v>225</v>
      </c>
      <c r="B144" s="18" t="s">
        <v>226</v>
      </c>
      <c r="C144" s="18" t="s">
        <v>27</v>
      </c>
      <c r="D144" s="19">
        <v>2025</v>
      </c>
      <c r="E144" s="20">
        <v>18000</v>
      </c>
      <c r="F144" s="13">
        <f>SUM(E38:E144)</f>
        <v>798584.49000000022</v>
      </c>
    </row>
    <row r="145" spans="1:6" outlineLevel="1" x14ac:dyDescent="0.25">
      <c r="A145" s="14" t="s">
        <v>227</v>
      </c>
      <c r="B145" s="14" t="s">
        <v>137</v>
      </c>
      <c r="C145" s="14" t="s">
        <v>27</v>
      </c>
      <c r="D145" s="15">
        <v>2025</v>
      </c>
      <c r="E145" s="16">
        <v>5000</v>
      </c>
      <c r="F145" s="13">
        <f>SUM(E38:E145)</f>
        <v>803584.49000000022</v>
      </c>
    </row>
    <row r="146" spans="1:6" outlineLevel="1" x14ac:dyDescent="0.25">
      <c r="A146" s="18" t="s">
        <v>228</v>
      </c>
      <c r="B146" s="18" t="s">
        <v>229</v>
      </c>
      <c r="C146" s="18" t="s">
        <v>27</v>
      </c>
      <c r="D146" s="19">
        <v>2025</v>
      </c>
      <c r="E146" s="20">
        <v>10000</v>
      </c>
      <c r="F146" s="13">
        <f>SUM(E38:E146)</f>
        <v>813584.49000000022</v>
      </c>
    </row>
    <row r="147" spans="1:6" outlineLevel="1" x14ac:dyDescent="0.25">
      <c r="A147" s="14" t="s">
        <v>230</v>
      </c>
      <c r="B147" s="14" t="s">
        <v>231</v>
      </c>
      <c r="C147" s="14" t="s">
        <v>27</v>
      </c>
      <c r="D147" s="15">
        <v>2025</v>
      </c>
      <c r="E147" s="16">
        <v>10000</v>
      </c>
      <c r="F147" s="13">
        <f>SUM(E38:E147)</f>
        <v>823584.49000000022</v>
      </c>
    </row>
    <row r="148" spans="1:6" outlineLevel="1" x14ac:dyDescent="0.25">
      <c r="A148" s="18" t="s">
        <v>230</v>
      </c>
      <c r="B148" s="18" t="s">
        <v>232</v>
      </c>
      <c r="C148" s="18" t="s">
        <v>27</v>
      </c>
      <c r="D148" s="19">
        <v>2025</v>
      </c>
      <c r="E148" s="20">
        <v>6500</v>
      </c>
      <c r="F148" s="13">
        <f>SUM(E38:E148)</f>
        <v>830084.49000000022</v>
      </c>
    </row>
    <row r="149" spans="1:6" outlineLevel="1" x14ac:dyDescent="0.25">
      <c r="A149" s="14" t="s">
        <v>233</v>
      </c>
      <c r="B149" s="14" t="s">
        <v>234</v>
      </c>
      <c r="C149" s="14" t="s">
        <v>27</v>
      </c>
      <c r="D149" s="15">
        <v>2025</v>
      </c>
      <c r="E149" s="16">
        <v>1500</v>
      </c>
      <c r="F149" s="13">
        <f>SUM(E38:E149)</f>
        <v>831584.49000000022</v>
      </c>
    </row>
    <row r="150" spans="1:6" outlineLevel="1" x14ac:dyDescent="0.25">
      <c r="A150" s="18" t="s">
        <v>235</v>
      </c>
      <c r="B150" s="18" t="s">
        <v>236</v>
      </c>
      <c r="C150" s="18" t="s">
        <v>27</v>
      </c>
      <c r="D150" s="19">
        <v>2025</v>
      </c>
      <c r="E150" s="20">
        <v>6500</v>
      </c>
      <c r="F150" s="13">
        <f>SUM(E38:E150)</f>
        <v>838084.49000000022</v>
      </c>
    </row>
    <row r="151" spans="1:6" outlineLevel="1" x14ac:dyDescent="0.25">
      <c r="A151" s="14" t="s">
        <v>235</v>
      </c>
      <c r="B151" s="14" t="s">
        <v>237</v>
      </c>
      <c r="C151" s="14" t="s">
        <v>27</v>
      </c>
      <c r="D151" s="15">
        <v>2025</v>
      </c>
      <c r="E151" s="16">
        <v>10000</v>
      </c>
      <c r="F151" s="13">
        <f>SUM(E38:E151)</f>
        <v>848084.49000000022</v>
      </c>
    </row>
    <row r="152" spans="1:6" outlineLevel="1" x14ac:dyDescent="0.25">
      <c r="A152" s="18" t="s">
        <v>235</v>
      </c>
      <c r="B152" s="18" t="s">
        <v>238</v>
      </c>
      <c r="C152" s="18" t="s">
        <v>27</v>
      </c>
      <c r="D152" s="19">
        <v>2025</v>
      </c>
      <c r="E152" s="20">
        <v>10000</v>
      </c>
      <c r="F152" s="13">
        <f>SUM(E38:E152)</f>
        <v>858084.49000000022</v>
      </c>
    </row>
    <row r="153" spans="1:6" outlineLevel="1" x14ac:dyDescent="0.25">
      <c r="A153" s="14" t="s">
        <v>239</v>
      </c>
      <c r="B153" s="14" t="s">
        <v>240</v>
      </c>
      <c r="C153" s="14" t="s">
        <v>27</v>
      </c>
      <c r="D153" s="15">
        <v>2025</v>
      </c>
      <c r="E153" s="16">
        <v>5000</v>
      </c>
      <c r="F153" s="13">
        <f>SUM(E38:E153)</f>
        <v>863084.49000000022</v>
      </c>
    </row>
    <row r="154" spans="1:6" outlineLevel="1" x14ac:dyDescent="0.25">
      <c r="A154" s="18" t="s">
        <v>241</v>
      </c>
      <c r="B154" s="18" t="s">
        <v>242</v>
      </c>
      <c r="C154" s="18" t="s">
        <v>27</v>
      </c>
      <c r="D154" s="19">
        <v>2025</v>
      </c>
      <c r="E154" s="20">
        <v>4900</v>
      </c>
      <c r="F154" s="13">
        <f>SUM(E38:E154)</f>
        <v>867984.49000000022</v>
      </c>
    </row>
    <row r="155" spans="1:6" outlineLevel="1" x14ac:dyDescent="0.25">
      <c r="A155" s="14" t="s">
        <v>243</v>
      </c>
      <c r="B155" s="14" t="s">
        <v>244</v>
      </c>
      <c r="C155" s="14" t="s">
        <v>27</v>
      </c>
      <c r="D155" s="15">
        <v>2025</v>
      </c>
      <c r="E155" s="16">
        <v>10000</v>
      </c>
      <c r="F155" s="13">
        <f>SUM(E38:E155)</f>
        <v>877984.49000000022</v>
      </c>
    </row>
    <row r="156" spans="1:6" outlineLevel="1" x14ac:dyDescent="0.25">
      <c r="A156" s="18" t="s">
        <v>245</v>
      </c>
      <c r="B156" s="18" t="s">
        <v>246</v>
      </c>
      <c r="C156" s="18" t="s">
        <v>27</v>
      </c>
      <c r="D156" s="19">
        <v>2025</v>
      </c>
      <c r="E156" s="20">
        <v>10000</v>
      </c>
      <c r="F156" s="13">
        <f>SUM(E38:E156)</f>
        <v>887984.49000000022</v>
      </c>
    </row>
    <row r="157" spans="1:6" outlineLevel="1" x14ac:dyDescent="0.25">
      <c r="A157" s="14" t="s">
        <v>247</v>
      </c>
      <c r="B157" s="14" t="s">
        <v>248</v>
      </c>
      <c r="C157" s="14" t="s">
        <v>27</v>
      </c>
      <c r="D157" s="15">
        <v>2025</v>
      </c>
      <c r="E157" s="16">
        <v>2500</v>
      </c>
      <c r="F157" s="13">
        <f>SUM(E38:E157)</f>
        <v>890484.49000000022</v>
      </c>
    </row>
    <row r="158" spans="1:6" outlineLevel="1" x14ac:dyDescent="0.25">
      <c r="A158" s="18" t="s">
        <v>249</v>
      </c>
      <c r="B158" s="18" t="s">
        <v>250</v>
      </c>
      <c r="C158" s="18" t="s">
        <v>27</v>
      </c>
      <c r="D158" s="19">
        <v>2025</v>
      </c>
      <c r="E158" s="20">
        <v>7000</v>
      </c>
      <c r="F158" s="13">
        <f>SUM(E38:E158)</f>
        <v>897484.49000000022</v>
      </c>
    </row>
    <row r="159" spans="1:6" outlineLevel="1" x14ac:dyDescent="0.25">
      <c r="A159" s="14" t="s">
        <v>251</v>
      </c>
      <c r="B159" s="14" t="s">
        <v>195</v>
      </c>
      <c r="C159" s="14" t="s">
        <v>27</v>
      </c>
      <c r="D159" s="15">
        <v>2025</v>
      </c>
      <c r="E159" s="16">
        <v>1500</v>
      </c>
      <c r="F159" s="13">
        <f>SUM(E38:E159)</f>
        <v>898984.49000000022</v>
      </c>
    </row>
    <row r="160" spans="1:6" outlineLevel="1" x14ac:dyDescent="0.25">
      <c r="A160" s="18" t="s">
        <v>251</v>
      </c>
      <c r="B160" s="18" t="s">
        <v>252</v>
      </c>
      <c r="C160" s="18" t="s">
        <v>27</v>
      </c>
      <c r="D160" s="19">
        <v>2025</v>
      </c>
      <c r="E160" s="20">
        <v>10000</v>
      </c>
      <c r="F160" s="13">
        <f>SUM(E38:E160)</f>
        <v>908984.49000000022</v>
      </c>
    </row>
    <row r="161" spans="1:6" outlineLevel="1" x14ac:dyDescent="0.25">
      <c r="A161" s="14" t="s">
        <v>253</v>
      </c>
      <c r="B161" s="14" t="s">
        <v>254</v>
      </c>
      <c r="C161" s="14" t="s">
        <v>27</v>
      </c>
      <c r="D161" s="15">
        <v>2025</v>
      </c>
      <c r="E161" s="16">
        <v>10000</v>
      </c>
      <c r="F161" s="13">
        <f>SUM(E38:E161)</f>
        <v>918984.49000000022</v>
      </c>
    </row>
    <row r="162" spans="1:6" outlineLevel="1" x14ac:dyDescent="0.25">
      <c r="A162" s="18" t="s">
        <v>255</v>
      </c>
      <c r="B162" s="18" t="s">
        <v>256</v>
      </c>
      <c r="C162" s="18" t="s">
        <v>27</v>
      </c>
      <c r="D162" s="19">
        <v>2025</v>
      </c>
      <c r="E162" s="20">
        <v>5000.04</v>
      </c>
      <c r="F162" s="13">
        <f>SUM(E38:E162)</f>
        <v>923984.53000000026</v>
      </c>
    </row>
    <row r="163" spans="1:6" outlineLevel="1" x14ac:dyDescent="0.25">
      <c r="A163" s="14" t="s">
        <v>257</v>
      </c>
      <c r="B163" s="14" t="s">
        <v>258</v>
      </c>
      <c r="C163" s="14" t="s">
        <v>27</v>
      </c>
      <c r="D163" s="15">
        <v>2025</v>
      </c>
      <c r="E163" s="16">
        <v>4500.0200000000004</v>
      </c>
      <c r="F163" s="13">
        <f>SUM(E38:E163)</f>
        <v>928484.55000000028</v>
      </c>
    </row>
    <row r="164" spans="1:6" outlineLevel="1" x14ac:dyDescent="0.25">
      <c r="A164" s="18" t="s">
        <v>259</v>
      </c>
      <c r="B164" s="18" t="s">
        <v>260</v>
      </c>
      <c r="C164" s="18" t="s">
        <v>27</v>
      </c>
      <c r="D164" s="19">
        <v>2025</v>
      </c>
      <c r="E164" s="20">
        <v>10000</v>
      </c>
      <c r="F164" s="13">
        <f>SUM(E38:E164)</f>
        <v>938484.55000000028</v>
      </c>
    </row>
    <row r="165" spans="1:6" outlineLevel="1" x14ac:dyDescent="0.25">
      <c r="A165" s="14" t="s">
        <v>261</v>
      </c>
      <c r="B165" s="14" t="s">
        <v>262</v>
      </c>
      <c r="C165" s="14" t="s">
        <v>27</v>
      </c>
      <c r="D165" s="15">
        <v>2025</v>
      </c>
      <c r="E165" s="16">
        <v>10000</v>
      </c>
      <c r="F165" s="13">
        <f>SUM(E38:E165)</f>
        <v>948484.55000000028</v>
      </c>
    </row>
    <row r="166" spans="1:6" outlineLevel="1" x14ac:dyDescent="0.25">
      <c r="A166" s="18" t="s">
        <v>261</v>
      </c>
      <c r="B166" s="18" t="s">
        <v>263</v>
      </c>
      <c r="C166" s="18" t="s">
        <v>27</v>
      </c>
      <c r="D166" s="19">
        <v>2025</v>
      </c>
      <c r="E166" s="20">
        <v>10000</v>
      </c>
      <c r="F166" s="13">
        <f>SUM(E38:E166)</f>
        <v>958484.55000000028</v>
      </c>
    </row>
    <row r="167" spans="1:6" outlineLevel="1" x14ac:dyDescent="0.25">
      <c r="A167" s="14" t="s">
        <v>264</v>
      </c>
      <c r="B167" s="14" t="s">
        <v>265</v>
      </c>
      <c r="C167" s="14" t="s">
        <v>27</v>
      </c>
      <c r="D167" s="15">
        <v>2025</v>
      </c>
      <c r="E167" s="16">
        <v>10000</v>
      </c>
      <c r="F167" s="13">
        <f>SUM(E38:E167)</f>
        <v>968484.55000000028</v>
      </c>
    </row>
    <row r="168" spans="1:6" outlineLevel="1" x14ac:dyDescent="0.25">
      <c r="A168" s="18" t="s">
        <v>266</v>
      </c>
      <c r="B168" s="18" t="s">
        <v>267</v>
      </c>
      <c r="C168" s="18" t="s">
        <v>27</v>
      </c>
      <c r="D168" s="19">
        <v>2025</v>
      </c>
      <c r="E168" s="20">
        <v>8000</v>
      </c>
      <c r="F168" s="13">
        <f>SUM(E38:E168)</f>
        <v>976484.55000000028</v>
      </c>
    </row>
    <row r="169" spans="1:6" outlineLevel="1" x14ac:dyDescent="0.25">
      <c r="A169" s="14" t="s">
        <v>268</v>
      </c>
      <c r="B169" s="14" t="s">
        <v>68</v>
      </c>
      <c r="C169" s="14" t="s">
        <v>27</v>
      </c>
      <c r="D169" s="15">
        <v>2025</v>
      </c>
      <c r="E169" s="16">
        <v>8000</v>
      </c>
      <c r="F169" s="13">
        <f>SUM(E38:E169)</f>
        <v>984484.55000000028</v>
      </c>
    </row>
    <row r="170" spans="1:6" outlineLevel="1" x14ac:dyDescent="0.25">
      <c r="A170" s="18" t="s">
        <v>269</v>
      </c>
      <c r="B170" s="18" t="s">
        <v>270</v>
      </c>
      <c r="C170" s="18" t="s">
        <v>27</v>
      </c>
      <c r="D170" s="19">
        <v>2025</v>
      </c>
      <c r="E170" s="20">
        <v>3500</v>
      </c>
      <c r="F170" s="13">
        <f>SUM(E38:E170)</f>
        <v>987984.55000000028</v>
      </c>
    </row>
    <row r="171" spans="1:6" outlineLevel="1" x14ac:dyDescent="0.25">
      <c r="A171" s="14" t="s">
        <v>271</v>
      </c>
      <c r="B171" s="14" t="s">
        <v>272</v>
      </c>
      <c r="C171" s="14" t="s">
        <v>27</v>
      </c>
      <c r="D171" s="15">
        <v>2025</v>
      </c>
      <c r="E171" s="16">
        <v>13266</v>
      </c>
      <c r="F171" s="13">
        <f>SUM(E38:E171)</f>
        <v>1001250.5500000003</v>
      </c>
    </row>
    <row r="172" spans="1:6" ht="18" customHeight="1" outlineLevel="1" x14ac:dyDescent="0.25">
      <c r="A172" s="148" t="s">
        <v>273</v>
      </c>
      <c r="B172" s="146"/>
      <c r="C172" s="146"/>
      <c r="D172" s="147"/>
      <c r="E172" s="4">
        <f>SUM(E38:E171)</f>
        <v>1001250.5500000003</v>
      </c>
      <c r="F172" s="17"/>
    </row>
    <row r="173" spans="1:6" ht="15.75" thickBot="1" x14ac:dyDescent="0.3"/>
    <row r="174" spans="1:6" ht="15.75" thickBot="1" x14ac:dyDescent="0.3">
      <c r="A174" s="142" t="s">
        <v>546</v>
      </c>
      <c r="B174" s="143"/>
      <c r="C174" s="143"/>
      <c r="D174" s="143"/>
      <c r="E174" s="143"/>
      <c r="F174" s="144"/>
    </row>
    <row r="175" spans="1:6" ht="15.75" thickBot="1" x14ac:dyDescent="0.3">
      <c r="A175" s="102" t="s">
        <v>19</v>
      </c>
      <c r="B175" s="102" t="s">
        <v>20</v>
      </c>
      <c r="C175" s="102" t="s">
        <v>21</v>
      </c>
      <c r="D175" s="102" t="s">
        <v>22</v>
      </c>
      <c r="E175" s="102" t="s">
        <v>23</v>
      </c>
      <c r="F175" s="102" t="s">
        <v>24</v>
      </c>
    </row>
    <row r="176" spans="1:6" x14ac:dyDescent="0.25">
      <c r="A176" s="99"/>
      <c r="B176" s="99"/>
      <c r="C176" s="99"/>
      <c r="D176" s="100"/>
      <c r="E176" s="101"/>
      <c r="F176" s="101"/>
    </row>
    <row r="177" spans="1:6" x14ac:dyDescent="0.25">
      <c r="A177" s="99"/>
      <c r="B177" s="99"/>
      <c r="C177" s="99"/>
      <c r="D177" s="100"/>
      <c r="E177" s="101"/>
      <c r="F177" s="101"/>
    </row>
    <row r="178" spans="1:6" x14ac:dyDescent="0.25">
      <c r="A178" s="99"/>
      <c r="B178" s="99"/>
      <c r="C178" s="99"/>
      <c r="D178" s="100"/>
      <c r="E178" s="101"/>
      <c r="F178" s="101"/>
    </row>
    <row r="179" spans="1:6" x14ac:dyDescent="0.25">
      <c r="A179" s="99"/>
      <c r="B179" s="99"/>
      <c r="C179" s="99"/>
      <c r="D179" s="100"/>
      <c r="E179" s="101"/>
      <c r="F179" s="101"/>
    </row>
    <row r="180" spans="1:6" x14ac:dyDescent="0.25">
      <c r="A180" s="99"/>
      <c r="B180" s="99"/>
      <c r="C180" s="99"/>
      <c r="D180" s="100"/>
      <c r="E180" s="101"/>
      <c r="F180" s="101"/>
    </row>
    <row r="181" spans="1:6" x14ac:dyDescent="0.25">
      <c r="A181" s="99"/>
      <c r="B181" s="99"/>
      <c r="C181" s="99"/>
      <c r="D181" s="100"/>
      <c r="E181" s="101"/>
      <c r="F181" s="101"/>
    </row>
    <row r="182" spans="1:6" x14ac:dyDescent="0.25">
      <c r="A182" s="99"/>
      <c r="B182" s="99"/>
      <c r="C182" s="99"/>
      <c r="D182" s="100"/>
      <c r="E182" s="101"/>
      <c r="F182" s="101"/>
    </row>
    <row r="183" spans="1:6" x14ac:dyDescent="0.25">
      <c r="A183" s="99"/>
      <c r="B183" s="99"/>
      <c r="C183" s="99"/>
      <c r="D183" s="100"/>
      <c r="E183" s="101"/>
      <c r="F183" s="101"/>
    </row>
    <row r="184" spans="1:6" x14ac:dyDescent="0.25">
      <c r="A184" s="99"/>
      <c r="B184" s="99"/>
      <c r="C184" s="99"/>
      <c r="D184" s="100"/>
      <c r="E184" s="101"/>
      <c r="F184" s="101"/>
    </row>
    <row r="185" spans="1:6" x14ac:dyDescent="0.25">
      <c r="A185" s="99"/>
      <c r="B185" s="99"/>
      <c r="C185" s="99"/>
      <c r="D185" s="100"/>
      <c r="E185" s="101"/>
      <c r="F185" s="101"/>
    </row>
    <row r="186" spans="1:6" x14ac:dyDescent="0.25">
      <c r="A186" s="99"/>
      <c r="B186" s="99"/>
      <c r="C186" s="99"/>
      <c r="D186" s="100"/>
      <c r="E186" s="101"/>
      <c r="F186" s="101"/>
    </row>
    <row r="187" spans="1:6" x14ac:dyDescent="0.25">
      <c r="A187" s="99"/>
      <c r="B187" s="99"/>
      <c r="C187" s="99"/>
      <c r="D187" s="100"/>
      <c r="E187" s="101"/>
      <c r="F187" s="101"/>
    </row>
    <row r="188" spans="1:6" x14ac:dyDescent="0.25">
      <c r="A188" s="99"/>
      <c r="B188" s="99"/>
      <c r="C188" s="99"/>
      <c r="D188" s="100"/>
      <c r="E188" s="101"/>
      <c r="F188" s="101"/>
    </row>
    <row r="189" spans="1:6" x14ac:dyDescent="0.25">
      <c r="A189" s="99"/>
      <c r="B189" s="99"/>
      <c r="C189" s="99"/>
      <c r="D189" s="100"/>
      <c r="E189" s="101"/>
      <c r="F189" s="101"/>
    </row>
    <row r="190" spans="1:6" x14ac:dyDescent="0.25">
      <c r="A190" s="99"/>
      <c r="B190" s="99"/>
      <c r="C190" s="99"/>
      <c r="D190" s="100"/>
      <c r="E190" s="101"/>
      <c r="F190" s="101"/>
    </row>
    <row r="191" spans="1:6" x14ac:dyDescent="0.25">
      <c r="A191" s="99"/>
      <c r="B191" s="99"/>
      <c r="C191" s="99"/>
      <c r="D191" s="100"/>
      <c r="E191" s="101"/>
      <c r="F191" s="101"/>
    </row>
    <row r="192" spans="1:6" x14ac:dyDescent="0.25">
      <c r="A192" s="99"/>
      <c r="B192" s="99"/>
      <c r="C192" s="99"/>
      <c r="D192" s="100"/>
      <c r="E192" s="101"/>
      <c r="F192" s="101"/>
    </row>
    <row r="193" spans="1:6" x14ac:dyDescent="0.25">
      <c r="A193" s="99"/>
      <c r="B193" s="99"/>
      <c r="C193" s="99"/>
      <c r="D193" s="100"/>
      <c r="E193" s="101"/>
      <c r="F193" s="101"/>
    </row>
    <row r="194" spans="1:6" x14ac:dyDescent="0.25">
      <c r="A194" s="99"/>
      <c r="B194" s="99"/>
      <c r="C194" s="99"/>
      <c r="D194" s="100"/>
      <c r="E194" s="101"/>
      <c r="F194" s="101"/>
    </row>
    <row r="195" spans="1:6" x14ac:dyDescent="0.25">
      <c r="A195" s="99"/>
      <c r="B195" s="99"/>
      <c r="C195" s="99"/>
      <c r="D195" s="100"/>
      <c r="E195" s="101"/>
      <c r="F195" s="101"/>
    </row>
    <row r="196" spans="1:6" x14ac:dyDescent="0.25">
      <c r="A196" s="99"/>
      <c r="B196" s="99"/>
      <c r="C196" s="99"/>
      <c r="D196" s="100"/>
      <c r="E196" s="101"/>
      <c r="F196" s="101"/>
    </row>
    <row r="197" spans="1:6" x14ac:dyDescent="0.25">
      <c r="A197" s="99"/>
      <c r="B197" s="99"/>
      <c r="C197" s="99"/>
      <c r="D197" s="100"/>
      <c r="E197" s="101"/>
      <c r="F197" s="101"/>
    </row>
    <row r="198" spans="1:6" x14ac:dyDescent="0.25">
      <c r="A198" s="99"/>
      <c r="B198" s="99"/>
      <c r="C198" s="99"/>
      <c r="D198" s="100"/>
      <c r="E198" s="101"/>
      <c r="F198" s="101"/>
    </row>
    <row r="199" spans="1:6" x14ac:dyDescent="0.25">
      <c r="A199" s="99"/>
      <c r="B199" s="99"/>
      <c r="C199" s="99"/>
      <c r="D199" s="100"/>
      <c r="E199" s="101"/>
      <c r="F199" s="101"/>
    </row>
    <row r="200" spans="1:6" x14ac:dyDescent="0.25">
      <c r="A200" s="99"/>
      <c r="B200" s="99"/>
      <c r="C200" s="99"/>
      <c r="D200" s="100"/>
      <c r="E200" s="101"/>
      <c r="F200" s="101"/>
    </row>
    <row r="201" spans="1:6" x14ac:dyDescent="0.25">
      <c r="A201" s="99"/>
      <c r="B201" s="99"/>
      <c r="C201" s="99"/>
      <c r="D201" s="100"/>
      <c r="E201" s="101"/>
      <c r="F201" s="101"/>
    </row>
    <row r="202" spans="1:6" x14ac:dyDescent="0.25">
      <c r="A202" s="99"/>
      <c r="B202" s="99"/>
      <c r="C202" s="99"/>
      <c r="D202" s="100"/>
      <c r="E202" s="101"/>
      <c r="F202" s="101"/>
    </row>
    <row r="203" spans="1:6" x14ac:dyDescent="0.25">
      <c r="A203" s="99"/>
      <c r="B203" s="99"/>
      <c r="C203" s="99"/>
      <c r="D203" s="100"/>
      <c r="E203" s="101"/>
      <c r="F203" s="101"/>
    </row>
    <row r="204" spans="1:6" x14ac:dyDescent="0.25">
      <c r="A204" s="99"/>
      <c r="B204" s="99"/>
      <c r="C204" s="99"/>
      <c r="D204" s="100"/>
      <c r="E204" s="101"/>
      <c r="F204" s="101"/>
    </row>
    <row r="205" spans="1:6" x14ac:dyDescent="0.25">
      <c r="A205" s="99"/>
      <c r="B205" s="99"/>
      <c r="C205" s="99"/>
      <c r="D205" s="100"/>
      <c r="E205" s="101"/>
      <c r="F205" s="101"/>
    </row>
    <row r="206" spans="1:6" x14ac:dyDescent="0.25">
      <c r="A206" s="99"/>
      <c r="B206" s="99"/>
      <c r="C206" s="99"/>
      <c r="D206" s="100"/>
      <c r="E206" s="101"/>
      <c r="F206" s="101"/>
    </row>
    <row r="207" spans="1:6" x14ac:dyDescent="0.25">
      <c r="A207" s="99"/>
      <c r="B207" s="99"/>
      <c r="C207" s="99"/>
      <c r="D207" s="100"/>
      <c r="E207" s="101"/>
      <c r="F207" s="101"/>
    </row>
    <row r="208" spans="1:6" x14ac:dyDescent="0.25">
      <c r="A208" s="99"/>
      <c r="B208" s="99"/>
      <c r="C208" s="99"/>
      <c r="D208" s="100"/>
      <c r="E208" s="101"/>
      <c r="F208" s="101"/>
    </row>
    <row r="209" spans="1:6" x14ac:dyDescent="0.25">
      <c r="A209" s="99"/>
      <c r="B209" s="99"/>
      <c r="C209" s="99"/>
      <c r="D209" s="100"/>
      <c r="E209" s="101"/>
      <c r="F209" s="101"/>
    </row>
    <row r="210" spans="1:6" x14ac:dyDescent="0.25">
      <c r="A210" s="99"/>
      <c r="B210" s="99"/>
      <c r="C210" s="99"/>
      <c r="D210" s="100"/>
      <c r="E210" s="101"/>
      <c r="F210" s="101"/>
    </row>
    <row r="211" spans="1:6" x14ac:dyDescent="0.25">
      <c r="A211" s="99"/>
      <c r="B211" s="99"/>
      <c r="C211" s="99"/>
      <c r="D211" s="100"/>
      <c r="E211" s="101"/>
      <c r="F211" s="101"/>
    </row>
    <row r="212" spans="1:6" x14ac:dyDescent="0.25">
      <c r="A212" s="99"/>
      <c r="B212" s="99"/>
      <c r="C212" s="99"/>
      <c r="D212" s="100"/>
      <c r="E212" s="101"/>
      <c r="F212" s="101"/>
    </row>
    <row r="213" spans="1:6" x14ac:dyDescent="0.25">
      <c r="A213" s="99"/>
      <c r="B213" s="99"/>
      <c r="C213" s="99"/>
      <c r="D213" s="100"/>
      <c r="E213" s="101"/>
      <c r="F213" s="101"/>
    </row>
    <row r="214" spans="1:6" x14ac:dyDescent="0.25">
      <c r="A214" s="99"/>
      <c r="B214" s="99"/>
      <c r="C214" s="99"/>
      <c r="D214" s="100"/>
      <c r="E214" s="101"/>
      <c r="F214" s="101"/>
    </row>
    <row r="215" spans="1:6" x14ac:dyDescent="0.25">
      <c r="A215" s="99"/>
      <c r="B215" s="99"/>
      <c r="C215" s="99"/>
      <c r="D215" s="100"/>
      <c r="E215" s="101"/>
      <c r="F215" s="101"/>
    </row>
    <row r="216" spans="1:6" x14ac:dyDescent="0.25">
      <c r="A216" s="99"/>
      <c r="B216" s="99"/>
      <c r="C216" s="99"/>
      <c r="D216" s="100"/>
      <c r="E216" s="101"/>
      <c r="F216" s="101"/>
    </row>
    <row r="217" spans="1:6" x14ac:dyDescent="0.25">
      <c r="A217" s="99"/>
      <c r="B217" s="99"/>
      <c r="C217" s="99"/>
      <c r="D217" s="100"/>
      <c r="E217" s="101"/>
      <c r="F217" s="101"/>
    </row>
    <row r="218" spans="1:6" x14ac:dyDescent="0.25">
      <c r="A218" s="99"/>
      <c r="B218" s="99"/>
      <c r="C218" s="99"/>
      <c r="D218" s="100"/>
      <c r="E218" s="101"/>
      <c r="F218" s="101"/>
    </row>
    <row r="219" spans="1:6" x14ac:dyDescent="0.25">
      <c r="A219" s="99"/>
      <c r="B219" s="99"/>
      <c r="C219" s="99"/>
      <c r="D219" s="100"/>
      <c r="E219" s="101"/>
      <c r="F219" s="101"/>
    </row>
    <row r="220" spans="1:6" x14ac:dyDescent="0.25">
      <c r="A220" s="99"/>
      <c r="B220" s="99"/>
      <c r="C220" s="99"/>
      <c r="D220" s="100"/>
      <c r="E220" s="101"/>
      <c r="F220" s="101"/>
    </row>
    <row r="221" spans="1:6" x14ac:dyDescent="0.25">
      <c r="A221" s="99"/>
      <c r="B221" s="99"/>
      <c r="C221" s="99"/>
      <c r="D221" s="100"/>
      <c r="E221" s="101"/>
      <c r="F221" s="101"/>
    </row>
    <row r="222" spans="1:6" x14ac:dyDescent="0.25">
      <c r="A222" s="99"/>
      <c r="B222" s="99"/>
      <c r="C222" s="99"/>
      <c r="D222" s="100"/>
      <c r="E222" s="101"/>
      <c r="F222" s="101"/>
    </row>
    <row r="223" spans="1:6" x14ac:dyDescent="0.25">
      <c r="A223" s="99"/>
      <c r="B223" s="99"/>
      <c r="C223" s="99"/>
      <c r="D223" s="100"/>
      <c r="E223" s="101"/>
      <c r="F223" s="101"/>
    </row>
    <row r="224" spans="1:6" x14ac:dyDescent="0.25">
      <c r="A224" s="99"/>
      <c r="B224" s="99"/>
      <c r="C224" s="99"/>
      <c r="D224" s="100"/>
      <c r="E224" s="101"/>
      <c r="F224" s="101"/>
    </row>
    <row r="225" spans="1:6" x14ac:dyDescent="0.25">
      <c r="A225" s="99"/>
      <c r="B225" s="99"/>
      <c r="C225" s="99"/>
      <c r="D225" s="100"/>
      <c r="E225" s="101"/>
      <c r="F225" s="101"/>
    </row>
    <row r="226" spans="1:6" x14ac:dyDescent="0.25">
      <c r="A226" s="99"/>
      <c r="B226" s="99"/>
      <c r="C226" s="99"/>
      <c r="D226" s="100"/>
      <c r="E226" s="101"/>
      <c r="F226" s="101"/>
    </row>
    <row r="227" spans="1:6" x14ac:dyDescent="0.25">
      <c r="A227" s="99"/>
      <c r="B227" s="99"/>
      <c r="C227" s="99"/>
      <c r="D227" s="100"/>
      <c r="E227" s="101"/>
      <c r="F227" s="101"/>
    </row>
    <row r="228" spans="1:6" x14ac:dyDescent="0.25">
      <c r="A228" s="99"/>
      <c r="B228" s="99"/>
      <c r="C228" s="99"/>
      <c r="D228" s="100"/>
      <c r="E228" s="101"/>
      <c r="F228" s="101"/>
    </row>
    <row r="229" spans="1:6" x14ac:dyDescent="0.25">
      <c r="A229" s="99"/>
      <c r="B229" s="99"/>
      <c r="C229" s="99"/>
      <c r="D229" s="100"/>
      <c r="E229" s="101"/>
      <c r="F229" s="101"/>
    </row>
    <row r="230" spans="1:6" x14ac:dyDescent="0.25">
      <c r="A230" s="99"/>
      <c r="B230" s="99"/>
      <c r="C230" s="99"/>
      <c r="D230" s="100"/>
      <c r="E230" s="101"/>
      <c r="F230" s="101"/>
    </row>
    <row r="231" spans="1:6" x14ac:dyDescent="0.25">
      <c r="A231" s="99"/>
      <c r="B231" s="99"/>
      <c r="C231" s="99"/>
      <c r="D231" s="100"/>
      <c r="E231" s="101"/>
      <c r="F231" s="101"/>
    </row>
    <row r="232" spans="1:6" x14ac:dyDescent="0.25">
      <c r="A232" s="99"/>
      <c r="B232" s="99"/>
      <c r="C232" s="99"/>
      <c r="D232" s="100"/>
      <c r="E232" s="101"/>
      <c r="F232" s="101"/>
    </row>
    <row r="233" spans="1:6" x14ac:dyDescent="0.25">
      <c r="A233" s="99"/>
      <c r="B233" s="99"/>
      <c r="C233" s="99"/>
      <c r="D233" s="100"/>
      <c r="E233" s="101"/>
      <c r="F233" s="101"/>
    </row>
    <row r="234" spans="1:6" x14ac:dyDescent="0.25">
      <c r="A234" s="99"/>
      <c r="B234" s="99"/>
      <c r="C234" s="99"/>
      <c r="D234" s="100"/>
      <c r="E234" s="101"/>
      <c r="F234" s="101"/>
    </row>
    <row r="235" spans="1:6" x14ac:dyDescent="0.25">
      <c r="A235" s="99"/>
      <c r="B235" s="99"/>
      <c r="C235" s="99"/>
      <c r="D235" s="100"/>
      <c r="E235" s="101"/>
      <c r="F235" s="101"/>
    </row>
    <row r="236" spans="1:6" x14ac:dyDescent="0.25">
      <c r="A236" s="99"/>
      <c r="B236" s="99"/>
      <c r="C236" s="99"/>
      <c r="D236" s="100"/>
      <c r="E236" s="101"/>
      <c r="F236" s="101"/>
    </row>
    <row r="237" spans="1:6" x14ac:dyDescent="0.25">
      <c r="A237" s="99"/>
      <c r="B237" s="99"/>
      <c r="C237" s="99"/>
      <c r="D237" s="100"/>
      <c r="E237" s="101"/>
      <c r="F237" s="101"/>
    </row>
    <row r="238" spans="1:6" x14ac:dyDescent="0.25">
      <c r="A238" s="99"/>
      <c r="B238" s="99"/>
      <c r="C238" s="99"/>
      <c r="D238" s="100"/>
      <c r="E238" s="101"/>
      <c r="F238" s="101"/>
    </row>
    <row r="239" spans="1:6" x14ac:dyDescent="0.25">
      <c r="A239" s="99"/>
      <c r="B239" s="99"/>
      <c r="C239" s="99"/>
      <c r="D239" s="100"/>
      <c r="E239" s="101"/>
      <c r="F239" s="101"/>
    </row>
    <row r="240" spans="1:6" x14ac:dyDescent="0.25">
      <c r="A240" s="99"/>
      <c r="B240" s="99"/>
      <c r="C240" s="99"/>
      <c r="D240" s="100"/>
      <c r="E240" s="101"/>
      <c r="F240" s="101"/>
    </row>
    <row r="241" spans="1:6" x14ac:dyDescent="0.25">
      <c r="A241" s="99"/>
      <c r="B241" s="99"/>
      <c r="C241" s="99"/>
      <c r="D241" s="100"/>
      <c r="E241" s="101"/>
      <c r="F241" s="101"/>
    </row>
    <row r="242" spans="1:6" x14ac:dyDescent="0.25">
      <c r="A242" s="99"/>
      <c r="B242" s="99"/>
      <c r="C242" s="99"/>
      <c r="D242" s="100"/>
      <c r="E242" s="101"/>
      <c r="F242" s="101"/>
    </row>
    <row r="243" spans="1:6" x14ac:dyDescent="0.25">
      <c r="A243" s="99"/>
      <c r="B243" s="99"/>
      <c r="C243" s="99"/>
      <c r="D243" s="100"/>
      <c r="E243" s="101"/>
      <c r="F243" s="101"/>
    </row>
    <row r="244" spans="1:6" x14ac:dyDescent="0.25">
      <c r="A244" s="99"/>
      <c r="B244" s="99"/>
      <c r="C244" s="99"/>
      <c r="D244" s="100"/>
      <c r="E244" s="101"/>
      <c r="F244" s="101"/>
    </row>
    <row r="245" spans="1:6" x14ac:dyDescent="0.25">
      <c r="A245" s="99"/>
      <c r="B245" s="99"/>
      <c r="C245" s="99"/>
      <c r="D245" s="100"/>
      <c r="E245" s="101"/>
      <c r="F245" s="101"/>
    </row>
    <row r="246" spans="1:6" x14ac:dyDescent="0.25">
      <c r="A246" s="99"/>
      <c r="B246" s="99"/>
      <c r="C246" s="99"/>
      <c r="D246" s="100"/>
      <c r="E246" s="101"/>
      <c r="F246" s="101"/>
    </row>
    <row r="247" spans="1:6" x14ac:dyDescent="0.25">
      <c r="A247" s="99"/>
      <c r="B247" s="99"/>
      <c r="C247" s="99"/>
      <c r="D247" s="100"/>
      <c r="E247" s="101"/>
      <c r="F247" s="101"/>
    </row>
    <row r="248" spans="1:6" x14ac:dyDescent="0.25">
      <c r="A248" s="99"/>
      <c r="B248" s="99"/>
      <c r="C248" s="99"/>
      <c r="D248" s="100"/>
      <c r="E248" s="101"/>
      <c r="F248" s="101"/>
    </row>
    <row r="249" spans="1:6" x14ac:dyDescent="0.25">
      <c r="A249" s="99"/>
      <c r="B249" s="99"/>
      <c r="C249" s="99"/>
      <c r="D249" s="100"/>
      <c r="E249" s="101"/>
      <c r="F249" s="101"/>
    </row>
    <row r="250" spans="1:6" x14ac:dyDescent="0.25">
      <c r="A250" s="99"/>
      <c r="B250" s="99"/>
      <c r="C250" s="99"/>
      <c r="D250" s="100"/>
      <c r="E250" s="101"/>
      <c r="F250" s="101"/>
    </row>
    <row r="251" spans="1:6" x14ac:dyDescent="0.25">
      <c r="A251" s="99"/>
      <c r="B251" s="99"/>
      <c r="C251" s="99"/>
      <c r="D251" s="100"/>
      <c r="E251" s="101"/>
      <c r="F251" s="101"/>
    </row>
    <row r="252" spans="1:6" x14ac:dyDescent="0.25">
      <c r="A252" s="99"/>
      <c r="B252" s="99"/>
      <c r="C252" s="99"/>
      <c r="D252" s="100"/>
      <c r="E252" s="101"/>
      <c r="F252" s="101"/>
    </row>
    <row r="253" spans="1:6" x14ac:dyDescent="0.25">
      <c r="A253" s="99"/>
      <c r="B253" s="99"/>
      <c r="C253" s="99"/>
      <c r="D253" s="100"/>
      <c r="E253" s="101"/>
      <c r="F253" s="101"/>
    </row>
    <row r="254" spans="1:6" x14ac:dyDescent="0.25">
      <c r="A254" s="99"/>
      <c r="B254" s="99"/>
      <c r="C254" s="99"/>
      <c r="D254" s="100"/>
      <c r="E254" s="101"/>
      <c r="F254" s="101"/>
    </row>
    <row r="255" spans="1:6" x14ac:dyDescent="0.25">
      <c r="A255" s="99"/>
      <c r="B255" s="99"/>
      <c r="C255" s="99"/>
      <c r="D255" s="100"/>
      <c r="E255" s="101"/>
      <c r="F255" s="101"/>
    </row>
    <row r="256" spans="1:6" x14ac:dyDescent="0.25">
      <c r="A256" s="99"/>
      <c r="B256" s="99"/>
      <c r="C256" s="99"/>
      <c r="D256" s="100"/>
      <c r="E256" s="101"/>
      <c r="F256" s="101"/>
    </row>
    <row r="257" spans="1:6" x14ac:dyDescent="0.25">
      <c r="A257" s="99"/>
      <c r="B257" s="99"/>
      <c r="C257" s="99"/>
      <c r="D257" s="100"/>
      <c r="E257" s="101"/>
      <c r="F257" s="101"/>
    </row>
    <row r="258" spans="1:6" x14ac:dyDescent="0.25">
      <c r="A258" s="99"/>
      <c r="B258" s="99"/>
      <c r="C258" s="99"/>
      <c r="D258" s="100"/>
      <c r="E258" s="101"/>
      <c r="F258" s="101"/>
    </row>
    <row r="259" spans="1:6" x14ac:dyDescent="0.25">
      <c r="A259" s="99"/>
      <c r="B259" s="99"/>
      <c r="C259" s="99"/>
      <c r="D259" s="100"/>
      <c r="E259" s="101"/>
      <c r="F259" s="101"/>
    </row>
    <row r="260" spans="1:6" x14ac:dyDescent="0.25">
      <c r="A260" s="99"/>
      <c r="B260" s="99"/>
      <c r="C260" s="99"/>
      <c r="D260" s="100"/>
      <c r="E260" s="101"/>
      <c r="F260" s="101"/>
    </row>
    <row r="261" spans="1:6" x14ac:dyDescent="0.25">
      <c r="A261" s="99"/>
      <c r="B261" s="99"/>
      <c r="C261" s="99"/>
      <c r="D261" s="100"/>
      <c r="E261" s="101"/>
      <c r="F261" s="101"/>
    </row>
    <row r="262" spans="1:6" x14ac:dyDescent="0.25">
      <c r="A262" s="99"/>
      <c r="B262" s="99"/>
      <c r="C262" s="99"/>
      <c r="D262" s="100"/>
      <c r="E262" s="101"/>
      <c r="F262" s="101"/>
    </row>
    <row r="263" spans="1:6" x14ac:dyDescent="0.25">
      <c r="A263" s="99"/>
      <c r="B263" s="99"/>
      <c r="C263" s="99"/>
      <c r="D263" s="100"/>
      <c r="E263" s="101"/>
      <c r="F263" s="101"/>
    </row>
    <row r="264" spans="1:6" x14ac:dyDescent="0.25">
      <c r="A264" s="99"/>
      <c r="B264" s="99"/>
      <c r="C264" s="99"/>
      <c r="D264" s="100"/>
      <c r="E264" s="101"/>
      <c r="F264" s="101"/>
    </row>
    <row r="265" spans="1:6" x14ac:dyDescent="0.25">
      <c r="A265" s="99"/>
      <c r="B265" s="99"/>
      <c r="C265" s="99"/>
      <c r="D265" s="100"/>
      <c r="E265" s="101"/>
      <c r="F265" s="101"/>
    </row>
    <row r="266" spans="1:6" x14ac:dyDescent="0.25">
      <c r="A266" s="99"/>
      <c r="B266" s="99"/>
      <c r="C266" s="99"/>
      <c r="D266" s="100"/>
      <c r="E266" s="101"/>
      <c r="F266" s="101"/>
    </row>
    <row r="267" spans="1:6" x14ac:dyDescent="0.25">
      <c r="A267" s="99"/>
      <c r="B267" s="99"/>
      <c r="C267" s="99"/>
      <c r="D267" s="100"/>
      <c r="E267" s="101"/>
      <c r="F267" s="101"/>
    </row>
    <row r="268" spans="1:6" x14ac:dyDescent="0.25">
      <c r="A268" s="99"/>
      <c r="B268" s="99"/>
      <c r="C268" s="99"/>
      <c r="D268" s="100"/>
      <c r="E268" s="101"/>
      <c r="F268" s="101"/>
    </row>
    <row r="269" spans="1:6" x14ac:dyDescent="0.25">
      <c r="A269" s="99"/>
      <c r="B269" s="99"/>
      <c r="C269" s="99"/>
      <c r="D269" s="100"/>
      <c r="E269" s="101"/>
      <c r="F269" s="101"/>
    </row>
    <row r="270" spans="1:6" x14ac:dyDescent="0.25">
      <c r="A270" s="99"/>
      <c r="B270" s="99"/>
      <c r="C270" s="99"/>
      <c r="D270" s="100"/>
      <c r="E270" s="101"/>
      <c r="F270" s="101"/>
    </row>
    <row r="271" spans="1:6" x14ac:dyDescent="0.25">
      <c r="A271" s="99"/>
      <c r="B271" s="99"/>
      <c r="C271" s="99"/>
      <c r="D271" s="100"/>
      <c r="E271" s="101"/>
      <c r="F271" s="101"/>
    </row>
    <row r="272" spans="1:6" x14ac:dyDescent="0.25">
      <c r="A272" s="99"/>
      <c r="B272" s="99"/>
      <c r="C272" s="99"/>
      <c r="D272" s="100"/>
      <c r="E272" s="101"/>
      <c r="F272" s="101"/>
    </row>
    <row r="273" spans="1:6" x14ac:dyDescent="0.25">
      <c r="A273" s="99"/>
      <c r="B273" s="99"/>
      <c r="C273" s="99"/>
      <c r="D273" s="100"/>
      <c r="E273" s="101"/>
      <c r="F273" s="101"/>
    </row>
    <row r="274" spans="1:6" x14ac:dyDescent="0.25">
      <c r="A274" s="99"/>
      <c r="B274" s="99"/>
      <c r="C274" s="99"/>
      <c r="D274" s="100"/>
      <c r="E274" s="101"/>
      <c r="F274" s="101"/>
    </row>
    <row r="275" spans="1:6" x14ac:dyDescent="0.25">
      <c r="A275" s="99"/>
      <c r="B275" s="99"/>
      <c r="C275" s="99"/>
      <c r="D275" s="100"/>
      <c r="E275" s="101"/>
      <c r="F275" s="101"/>
    </row>
    <row r="276" spans="1:6" x14ac:dyDescent="0.25">
      <c r="A276" s="99"/>
      <c r="B276" s="99"/>
      <c r="C276" s="99"/>
      <c r="D276" s="100"/>
      <c r="E276" s="101"/>
      <c r="F276" s="101"/>
    </row>
    <row r="277" spans="1:6" x14ac:dyDescent="0.25">
      <c r="A277" s="99"/>
      <c r="B277" s="99"/>
      <c r="C277" s="99"/>
      <c r="D277" s="100"/>
      <c r="E277" s="101"/>
      <c r="F277" s="101"/>
    </row>
    <row r="278" spans="1:6" x14ac:dyDescent="0.25">
      <c r="A278" s="99"/>
      <c r="B278" s="99"/>
      <c r="C278" s="99"/>
      <c r="D278" s="100"/>
      <c r="E278" s="101"/>
      <c r="F278" s="101"/>
    </row>
    <row r="279" spans="1:6" x14ac:dyDescent="0.25">
      <c r="A279" s="99"/>
      <c r="B279" s="99"/>
      <c r="C279" s="99"/>
      <c r="D279" s="100"/>
      <c r="E279" s="101"/>
      <c r="F279" s="101"/>
    </row>
    <row r="280" spans="1:6" x14ac:dyDescent="0.25">
      <c r="A280" s="99"/>
      <c r="B280" s="99"/>
      <c r="C280" s="99"/>
      <c r="D280" s="100"/>
      <c r="E280" s="101"/>
      <c r="F280" s="101"/>
    </row>
    <row r="281" spans="1:6" x14ac:dyDescent="0.25">
      <c r="A281" s="99"/>
      <c r="B281" s="99"/>
      <c r="C281" s="99"/>
      <c r="D281" s="100"/>
      <c r="E281" s="101"/>
      <c r="F281" s="101"/>
    </row>
    <row r="282" spans="1:6" x14ac:dyDescent="0.25">
      <c r="A282" s="99"/>
      <c r="B282" s="99"/>
      <c r="C282" s="99"/>
      <c r="D282" s="100"/>
      <c r="E282" s="101"/>
      <c r="F282" s="101"/>
    </row>
    <row r="283" spans="1:6" x14ac:dyDescent="0.25">
      <c r="A283" s="99"/>
      <c r="B283" s="99"/>
      <c r="C283" s="99"/>
      <c r="D283" s="100"/>
      <c r="E283" s="101"/>
      <c r="F283" s="101"/>
    </row>
    <row r="284" spans="1:6" x14ac:dyDescent="0.25">
      <c r="A284" s="99"/>
      <c r="B284" s="99"/>
      <c r="C284" s="99"/>
      <c r="D284" s="100"/>
      <c r="E284" s="101"/>
      <c r="F284" s="101"/>
    </row>
    <row r="285" spans="1:6" x14ac:dyDescent="0.25">
      <c r="A285" s="99"/>
      <c r="B285" s="99"/>
      <c r="C285" s="99"/>
      <c r="D285" s="100"/>
      <c r="E285" s="101"/>
      <c r="F285" s="101"/>
    </row>
    <row r="286" spans="1:6" x14ac:dyDescent="0.25">
      <c r="A286" s="99"/>
      <c r="B286" s="99"/>
      <c r="C286" s="99"/>
      <c r="D286" s="100"/>
      <c r="E286" s="101"/>
      <c r="F286" s="101"/>
    </row>
    <row r="287" spans="1:6" x14ac:dyDescent="0.25">
      <c r="A287" s="99"/>
      <c r="B287" s="99"/>
      <c r="C287" s="99"/>
      <c r="D287" s="100"/>
      <c r="E287" s="101"/>
      <c r="F287" s="101"/>
    </row>
    <row r="288" spans="1:6" x14ac:dyDescent="0.25">
      <c r="A288" s="99"/>
      <c r="B288" s="99"/>
      <c r="C288" s="99"/>
      <c r="D288" s="100"/>
      <c r="E288" s="101"/>
      <c r="F288" s="101"/>
    </row>
    <row r="289" spans="1:6" x14ac:dyDescent="0.25">
      <c r="A289" s="99"/>
      <c r="B289" s="99"/>
      <c r="C289" s="99"/>
      <c r="D289" s="100"/>
      <c r="E289" s="101"/>
      <c r="F289" s="101"/>
    </row>
    <row r="290" spans="1:6" x14ac:dyDescent="0.25">
      <c r="A290" s="99"/>
      <c r="B290" s="99"/>
      <c r="C290" s="99"/>
      <c r="D290" s="100"/>
      <c r="E290" s="101"/>
      <c r="F290" s="101"/>
    </row>
    <row r="291" spans="1:6" x14ac:dyDescent="0.25">
      <c r="A291" s="99"/>
      <c r="B291" s="99"/>
      <c r="C291" s="99"/>
      <c r="D291" s="100"/>
      <c r="E291" s="101"/>
      <c r="F291" s="101"/>
    </row>
    <row r="292" spans="1:6" x14ac:dyDescent="0.25">
      <c r="A292" s="99"/>
      <c r="B292" s="99"/>
      <c r="C292" s="99"/>
      <c r="D292" s="100"/>
      <c r="E292" s="101"/>
      <c r="F292" s="101"/>
    </row>
    <row r="293" spans="1:6" x14ac:dyDescent="0.25">
      <c r="A293" s="99"/>
      <c r="B293" s="99"/>
      <c r="C293" s="99"/>
      <c r="D293" s="100"/>
      <c r="E293" s="101"/>
      <c r="F293" s="101"/>
    </row>
    <row r="294" spans="1:6" x14ac:dyDescent="0.25">
      <c r="A294" s="99"/>
      <c r="B294" s="99"/>
      <c r="C294" s="99"/>
      <c r="D294" s="100"/>
      <c r="E294" s="101"/>
      <c r="F294" s="101"/>
    </row>
    <row r="295" spans="1:6" x14ac:dyDescent="0.25">
      <c r="A295" s="99"/>
      <c r="B295" s="99"/>
      <c r="C295" s="99"/>
      <c r="D295" s="100"/>
      <c r="E295" s="101"/>
      <c r="F295" s="101"/>
    </row>
    <row r="296" spans="1:6" x14ac:dyDescent="0.25">
      <c r="A296" s="99"/>
      <c r="B296" s="99"/>
      <c r="C296" s="99"/>
      <c r="D296" s="100"/>
      <c r="E296" s="101"/>
      <c r="F296" s="101"/>
    </row>
    <row r="297" spans="1:6" x14ac:dyDescent="0.25">
      <c r="A297" s="99"/>
      <c r="B297" s="99"/>
      <c r="C297" s="99"/>
      <c r="D297" s="100"/>
      <c r="E297" s="101"/>
      <c r="F297" s="101"/>
    </row>
    <row r="298" spans="1:6" x14ac:dyDescent="0.25">
      <c r="A298" s="99"/>
      <c r="B298" s="99"/>
      <c r="C298" s="99"/>
      <c r="D298" s="100"/>
      <c r="E298" s="101"/>
      <c r="F298" s="101"/>
    </row>
    <row r="299" spans="1:6" x14ac:dyDescent="0.25">
      <c r="A299" s="99"/>
      <c r="B299" s="99"/>
      <c r="C299" s="99"/>
      <c r="D299" s="100"/>
      <c r="E299" s="101"/>
      <c r="F299" s="101"/>
    </row>
    <row r="300" spans="1:6" x14ac:dyDescent="0.25">
      <c r="A300" s="99"/>
      <c r="B300" s="99"/>
      <c r="C300" s="99"/>
      <c r="D300" s="100"/>
      <c r="E300" s="101"/>
      <c r="F300" s="101"/>
    </row>
    <row r="301" spans="1:6" x14ac:dyDescent="0.25">
      <c r="A301" s="99"/>
      <c r="B301" s="99"/>
      <c r="C301" s="99"/>
      <c r="D301" s="100"/>
      <c r="E301" s="101"/>
      <c r="F301" s="101"/>
    </row>
    <row r="302" spans="1:6" x14ac:dyDescent="0.25">
      <c r="A302" s="99"/>
      <c r="B302" s="99"/>
      <c r="C302" s="99"/>
      <c r="D302" s="100"/>
      <c r="E302" s="101"/>
      <c r="F302" s="101"/>
    </row>
    <row r="303" spans="1:6" x14ac:dyDescent="0.25">
      <c r="A303" s="99"/>
      <c r="B303" s="99"/>
      <c r="C303" s="99"/>
      <c r="D303" s="100"/>
      <c r="E303" s="101"/>
      <c r="F303" s="101"/>
    </row>
    <row r="304" spans="1:6" x14ac:dyDescent="0.25">
      <c r="A304" s="99"/>
      <c r="B304" s="99"/>
      <c r="C304" s="99"/>
      <c r="D304" s="100"/>
      <c r="E304" s="101"/>
      <c r="F304" s="101"/>
    </row>
    <row r="305" spans="1:6" x14ac:dyDescent="0.25">
      <c r="A305" s="99"/>
      <c r="B305" s="99"/>
      <c r="C305" s="99"/>
      <c r="D305" s="100"/>
      <c r="E305" s="101"/>
      <c r="F305" s="101"/>
    </row>
    <row r="306" spans="1:6" x14ac:dyDescent="0.25">
      <c r="A306" s="99"/>
      <c r="B306" s="99"/>
      <c r="C306" s="99"/>
      <c r="D306" s="100"/>
      <c r="E306" s="101"/>
      <c r="F306" s="101"/>
    </row>
    <row r="307" spans="1:6" x14ac:dyDescent="0.25">
      <c r="A307" s="99"/>
      <c r="B307" s="99"/>
      <c r="C307" s="99"/>
      <c r="D307" s="100"/>
      <c r="E307" s="101"/>
      <c r="F307" s="101"/>
    </row>
    <row r="308" spans="1:6" x14ac:dyDescent="0.25">
      <c r="A308" s="99"/>
      <c r="B308" s="99"/>
      <c r="C308" s="99"/>
      <c r="D308" s="100"/>
      <c r="E308" s="101"/>
      <c r="F308" s="101"/>
    </row>
    <row r="309" spans="1:6" x14ac:dyDescent="0.25">
      <c r="A309" s="99"/>
      <c r="B309" s="99"/>
      <c r="C309" s="99"/>
      <c r="D309" s="100"/>
      <c r="E309" s="101"/>
      <c r="F309" s="101"/>
    </row>
    <row r="310" spans="1:6" x14ac:dyDescent="0.25">
      <c r="A310" s="145" t="s">
        <v>547</v>
      </c>
      <c r="B310" s="146"/>
      <c r="C310" s="146"/>
      <c r="D310" s="147"/>
      <c r="E310" s="4">
        <f>SUM(E176:E309)</f>
        <v>0</v>
      </c>
      <c r="F310" s="17"/>
    </row>
  </sheetData>
  <mergeCells count="7">
    <mergeCell ref="A174:F174"/>
    <mergeCell ref="A310:D310"/>
    <mergeCell ref="A36:F36"/>
    <mergeCell ref="A34:D34"/>
    <mergeCell ref="A1:F1"/>
    <mergeCell ref="A172:D172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showGridLines="0" tabSelected="1" topLeftCell="A55" workbookViewId="0">
      <selection activeCell="B73" sqref="B73"/>
    </sheetView>
  </sheetViews>
  <sheetFormatPr defaultRowHeight="15" x14ac:dyDescent="0.25"/>
  <cols>
    <col min="1" max="1" width="14" style="34" customWidth="1"/>
    <col min="2" max="2" width="50.85546875" style="34" bestFit="1" customWidth="1"/>
    <col min="3" max="3" width="12" style="34" customWidth="1"/>
    <col min="4" max="4" width="10" style="34" customWidth="1"/>
    <col min="5" max="5" width="26" style="34" customWidth="1"/>
    <col min="6" max="6" width="14" style="34" customWidth="1"/>
  </cols>
  <sheetData>
    <row r="1" spans="1:6" ht="36" customHeight="1" thickBot="1" x14ac:dyDescent="0.3">
      <c r="A1" s="137" t="s">
        <v>274</v>
      </c>
      <c r="B1" s="138"/>
      <c r="C1" s="138"/>
      <c r="D1" s="138"/>
      <c r="E1" s="138"/>
      <c r="F1" s="138"/>
    </row>
    <row r="3" spans="1:6" ht="15.75" thickBot="1" x14ac:dyDescent="0.3">
      <c r="A3" s="140" t="s">
        <v>275</v>
      </c>
      <c r="B3" s="138"/>
      <c r="C3" s="138"/>
      <c r="D3" s="138"/>
      <c r="E3" s="138"/>
      <c r="F3" s="138"/>
    </row>
    <row r="4" spans="1:6" ht="15.75" thickBot="1" x14ac:dyDescent="0.3">
      <c r="A4" s="9" t="s">
        <v>19</v>
      </c>
      <c r="B4" s="9" t="s">
        <v>276</v>
      </c>
      <c r="C4" s="9" t="s">
        <v>22</v>
      </c>
      <c r="D4" s="9"/>
      <c r="E4" s="9" t="s">
        <v>277</v>
      </c>
      <c r="F4" s="9" t="s">
        <v>23</v>
      </c>
    </row>
    <row r="5" spans="1:6" x14ac:dyDescent="0.25">
      <c r="A5" s="10" t="s">
        <v>278</v>
      </c>
      <c r="B5" s="10" t="s">
        <v>279</v>
      </c>
      <c r="C5" s="108">
        <v>2024</v>
      </c>
      <c r="D5" s="10"/>
      <c r="E5" s="10" t="s">
        <v>280</v>
      </c>
      <c r="F5" s="12">
        <v>8052</v>
      </c>
    </row>
    <row r="6" spans="1:6" x14ac:dyDescent="0.25">
      <c r="A6" s="21" t="s">
        <v>281</v>
      </c>
      <c r="B6" s="21" t="s">
        <v>282</v>
      </c>
      <c r="C6" s="109">
        <v>2024</v>
      </c>
      <c r="D6" s="21"/>
      <c r="E6" s="21" t="s">
        <v>280</v>
      </c>
      <c r="F6" s="22">
        <v>26481</v>
      </c>
    </row>
    <row r="7" spans="1:6" x14ac:dyDescent="0.25">
      <c r="A7" s="10" t="s">
        <v>28</v>
      </c>
      <c r="B7" s="10" t="s">
        <v>283</v>
      </c>
      <c r="C7" s="108">
        <v>2024</v>
      </c>
      <c r="D7" s="10"/>
      <c r="E7" s="10" t="s">
        <v>284</v>
      </c>
      <c r="F7" s="12">
        <v>118</v>
      </c>
    </row>
    <row r="8" spans="1:6" x14ac:dyDescent="0.25">
      <c r="A8" s="21" t="s">
        <v>28</v>
      </c>
      <c r="B8" s="21" t="s">
        <v>285</v>
      </c>
      <c r="C8" s="109">
        <v>2024</v>
      </c>
      <c r="D8" s="21"/>
      <c r="E8" s="21" t="s">
        <v>284</v>
      </c>
      <c r="F8" s="22">
        <v>365</v>
      </c>
    </row>
    <row r="9" spans="1:6" x14ac:dyDescent="0.25">
      <c r="A9" s="10" t="s">
        <v>28</v>
      </c>
      <c r="B9" s="10" t="s">
        <v>286</v>
      </c>
      <c r="C9" s="108">
        <v>2024</v>
      </c>
      <c r="D9" s="10"/>
      <c r="E9" s="10" t="s">
        <v>287</v>
      </c>
      <c r="F9" s="12">
        <v>447</v>
      </c>
    </row>
    <row r="10" spans="1:6" x14ac:dyDescent="0.25">
      <c r="A10" s="21" t="s">
        <v>288</v>
      </c>
      <c r="B10" s="21" t="s">
        <v>289</v>
      </c>
      <c r="C10" s="109">
        <v>2024</v>
      </c>
      <c r="D10" s="21"/>
      <c r="E10" s="21" t="s">
        <v>284</v>
      </c>
      <c r="F10" s="22">
        <v>409</v>
      </c>
    </row>
    <row r="11" spans="1:6" x14ac:dyDescent="0.25">
      <c r="A11" s="10" t="s">
        <v>288</v>
      </c>
      <c r="B11" s="10" t="s">
        <v>290</v>
      </c>
      <c r="C11" s="108">
        <v>2024</v>
      </c>
      <c r="D11" s="10"/>
      <c r="E11" s="10" t="s">
        <v>287</v>
      </c>
      <c r="F11" s="12">
        <v>415</v>
      </c>
    </row>
    <row r="12" spans="1:6" x14ac:dyDescent="0.25">
      <c r="A12" s="21" t="s">
        <v>34</v>
      </c>
      <c r="B12" s="21" t="s">
        <v>291</v>
      </c>
      <c r="C12" s="109">
        <v>2024</v>
      </c>
      <c r="D12" s="21"/>
      <c r="E12" s="21" t="s">
        <v>287</v>
      </c>
      <c r="F12" s="22">
        <v>249</v>
      </c>
    </row>
    <row r="13" spans="1:6" x14ac:dyDescent="0.25">
      <c r="A13" s="10" t="s">
        <v>292</v>
      </c>
      <c r="B13" s="10" t="s">
        <v>293</v>
      </c>
      <c r="C13" s="108">
        <v>2024</v>
      </c>
      <c r="D13" s="10"/>
      <c r="E13" s="10" t="s">
        <v>287</v>
      </c>
      <c r="F13" s="12">
        <v>213</v>
      </c>
    </row>
    <row r="14" spans="1:6" x14ac:dyDescent="0.25">
      <c r="A14" s="21" t="s">
        <v>292</v>
      </c>
      <c r="B14" s="21" t="s">
        <v>294</v>
      </c>
      <c r="C14" s="109">
        <v>2024</v>
      </c>
      <c r="D14" s="21"/>
      <c r="E14" s="21" t="s">
        <v>287</v>
      </c>
      <c r="F14" s="22">
        <v>314</v>
      </c>
    </row>
    <row r="15" spans="1:6" x14ac:dyDescent="0.25">
      <c r="A15" s="10" t="s">
        <v>292</v>
      </c>
      <c r="B15" s="10" t="s">
        <v>295</v>
      </c>
      <c r="C15" s="108">
        <v>2024</v>
      </c>
      <c r="D15" s="10"/>
      <c r="E15" s="10" t="s">
        <v>287</v>
      </c>
      <c r="F15" s="12">
        <v>606</v>
      </c>
    </row>
    <row r="16" spans="1:6" x14ac:dyDescent="0.25">
      <c r="A16" s="21" t="s">
        <v>292</v>
      </c>
      <c r="B16" s="21" t="s">
        <v>286</v>
      </c>
      <c r="C16" s="109">
        <v>2024</v>
      </c>
      <c r="D16" s="21"/>
      <c r="E16" s="21" t="s">
        <v>287</v>
      </c>
      <c r="F16" s="22">
        <v>447</v>
      </c>
    </row>
    <row r="17" spans="1:6" x14ac:dyDescent="0.25">
      <c r="A17" s="10" t="s">
        <v>292</v>
      </c>
      <c r="B17" s="10" t="s">
        <v>290</v>
      </c>
      <c r="C17" s="108">
        <v>2024</v>
      </c>
      <c r="D17" s="10"/>
      <c r="E17" s="10" t="s">
        <v>287</v>
      </c>
      <c r="F17" s="12">
        <v>415</v>
      </c>
    </row>
    <row r="18" spans="1:6" x14ac:dyDescent="0.25">
      <c r="A18" s="21" t="s">
        <v>43</v>
      </c>
      <c r="B18" s="21" t="s">
        <v>296</v>
      </c>
      <c r="C18" s="109">
        <v>2024</v>
      </c>
      <c r="D18" s="21"/>
      <c r="E18" s="21" t="s">
        <v>287</v>
      </c>
      <c r="F18" s="22">
        <v>491</v>
      </c>
    </row>
    <row r="19" spans="1:6" x14ac:dyDescent="0.25">
      <c r="A19" s="10" t="s">
        <v>43</v>
      </c>
      <c r="B19" s="10" t="s">
        <v>297</v>
      </c>
      <c r="C19" s="108">
        <v>2024</v>
      </c>
      <c r="D19" s="10"/>
      <c r="E19" s="10" t="s">
        <v>287</v>
      </c>
      <c r="F19" s="12">
        <v>300</v>
      </c>
    </row>
    <row r="20" spans="1:6" x14ac:dyDescent="0.25">
      <c r="A20" s="21" t="s">
        <v>298</v>
      </c>
      <c r="B20" s="21" t="s">
        <v>299</v>
      </c>
      <c r="C20" s="109">
        <v>2024</v>
      </c>
      <c r="D20" s="21"/>
      <c r="E20" s="21" t="s">
        <v>284</v>
      </c>
      <c r="F20" s="22">
        <v>704</v>
      </c>
    </row>
    <row r="21" spans="1:6" x14ac:dyDescent="0.25">
      <c r="A21" s="10" t="s">
        <v>298</v>
      </c>
      <c r="B21" s="10" t="s">
        <v>300</v>
      </c>
      <c r="C21" s="108">
        <v>2024</v>
      </c>
      <c r="D21" s="10"/>
      <c r="E21" s="10" t="s">
        <v>287</v>
      </c>
      <c r="F21" s="12">
        <v>625</v>
      </c>
    </row>
    <row r="22" spans="1:6" x14ac:dyDescent="0.25">
      <c r="A22" s="21" t="s">
        <v>298</v>
      </c>
      <c r="B22" s="21" t="s">
        <v>294</v>
      </c>
      <c r="C22" s="109">
        <v>2024</v>
      </c>
      <c r="D22" s="21"/>
      <c r="E22" s="21" t="s">
        <v>287</v>
      </c>
      <c r="F22" s="22">
        <v>365</v>
      </c>
    </row>
    <row r="23" spans="1:6" x14ac:dyDescent="0.25">
      <c r="A23" s="10" t="s">
        <v>298</v>
      </c>
      <c r="B23" s="10" t="s">
        <v>289</v>
      </c>
      <c r="C23" s="108">
        <v>2024</v>
      </c>
      <c r="D23" s="10"/>
      <c r="E23" s="10" t="s">
        <v>284</v>
      </c>
      <c r="F23" s="12">
        <v>463</v>
      </c>
    </row>
    <row r="24" spans="1:6" x14ac:dyDescent="0.25">
      <c r="A24" s="21" t="s">
        <v>298</v>
      </c>
      <c r="B24" s="21" t="s">
        <v>286</v>
      </c>
      <c r="C24" s="109">
        <v>2024</v>
      </c>
      <c r="D24" s="21"/>
      <c r="E24" s="21" t="s">
        <v>287</v>
      </c>
      <c r="F24" s="22">
        <v>430</v>
      </c>
    </row>
    <row r="25" spans="1:6" x14ac:dyDescent="0.25">
      <c r="A25" s="10" t="s">
        <v>57</v>
      </c>
      <c r="B25" s="10" t="s">
        <v>301</v>
      </c>
      <c r="C25" s="108">
        <v>2024</v>
      </c>
      <c r="D25" s="10"/>
      <c r="E25" s="10" t="s">
        <v>301</v>
      </c>
      <c r="F25" s="12">
        <v>7000</v>
      </c>
    </row>
    <row r="26" spans="1:6" x14ac:dyDescent="0.25">
      <c r="A26" s="23" t="s">
        <v>302</v>
      </c>
      <c r="B26" s="23" t="s">
        <v>303</v>
      </c>
      <c r="C26" s="107">
        <v>2025</v>
      </c>
      <c r="D26" s="23"/>
      <c r="E26" s="23" t="s">
        <v>287</v>
      </c>
      <c r="F26" s="24">
        <v>770</v>
      </c>
    </row>
    <row r="27" spans="1:6" x14ac:dyDescent="0.25">
      <c r="A27" s="18" t="s">
        <v>302</v>
      </c>
      <c r="B27" s="18" t="s">
        <v>304</v>
      </c>
      <c r="C27" s="107">
        <v>2025</v>
      </c>
      <c r="D27" s="18"/>
      <c r="E27" s="18" t="s">
        <v>284</v>
      </c>
      <c r="F27" s="20">
        <v>249</v>
      </c>
    </row>
    <row r="28" spans="1:6" x14ac:dyDescent="0.25">
      <c r="A28" s="23" t="s">
        <v>302</v>
      </c>
      <c r="B28" s="23" t="s">
        <v>305</v>
      </c>
      <c r="C28" s="107">
        <v>2025</v>
      </c>
      <c r="D28" s="23"/>
      <c r="E28" s="23" t="s">
        <v>284</v>
      </c>
      <c r="F28" s="24">
        <v>772</v>
      </c>
    </row>
    <row r="29" spans="1:6" x14ac:dyDescent="0.25">
      <c r="A29" s="18" t="s">
        <v>302</v>
      </c>
      <c r="B29" s="18" t="s">
        <v>306</v>
      </c>
      <c r="C29" s="107">
        <v>2025</v>
      </c>
      <c r="D29" s="18"/>
      <c r="E29" s="18" t="s">
        <v>284</v>
      </c>
      <c r="F29" s="20">
        <v>595</v>
      </c>
    </row>
    <row r="30" spans="1:6" x14ac:dyDescent="0.25">
      <c r="A30" s="23" t="s">
        <v>302</v>
      </c>
      <c r="B30" s="23" t="s">
        <v>307</v>
      </c>
      <c r="C30" s="107">
        <v>2025</v>
      </c>
      <c r="D30" s="23"/>
      <c r="E30" s="23" t="s">
        <v>287</v>
      </c>
      <c r="F30" s="24">
        <v>788</v>
      </c>
    </row>
    <row r="31" spans="1:6" x14ac:dyDescent="0.25">
      <c r="A31" s="18" t="s">
        <v>302</v>
      </c>
      <c r="B31" s="18" t="s">
        <v>308</v>
      </c>
      <c r="C31" s="107">
        <v>2025</v>
      </c>
      <c r="D31" s="18"/>
      <c r="E31" s="18" t="s">
        <v>287</v>
      </c>
      <c r="F31" s="20">
        <v>815</v>
      </c>
    </row>
    <row r="32" spans="1:6" x14ac:dyDescent="0.25">
      <c r="A32" s="23" t="s">
        <v>309</v>
      </c>
      <c r="B32" s="23" t="s">
        <v>310</v>
      </c>
      <c r="C32" s="107">
        <v>2025</v>
      </c>
      <c r="D32" s="23"/>
      <c r="E32" s="23" t="s">
        <v>284</v>
      </c>
      <c r="F32" s="24">
        <v>870</v>
      </c>
    </row>
    <row r="33" spans="1:6" x14ac:dyDescent="0.25">
      <c r="A33" s="18" t="s">
        <v>311</v>
      </c>
      <c r="B33" s="18" t="s">
        <v>312</v>
      </c>
      <c r="C33" s="107">
        <v>2025</v>
      </c>
      <c r="D33" s="18"/>
      <c r="E33" s="18" t="s">
        <v>284</v>
      </c>
      <c r="F33" s="20">
        <v>260</v>
      </c>
    </row>
    <row r="34" spans="1:6" x14ac:dyDescent="0.25">
      <c r="A34" s="23" t="s">
        <v>311</v>
      </c>
      <c r="B34" s="23" t="s">
        <v>313</v>
      </c>
      <c r="C34" s="107">
        <v>2025</v>
      </c>
      <c r="D34" s="23"/>
      <c r="E34" s="23" t="s">
        <v>284</v>
      </c>
      <c r="F34" s="24">
        <v>506</v>
      </c>
    </row>
    <row r="35" spans="1:6" x14ac:dyDescent="0.25">
      <c r="A35" s="18" t="s">
        <v>75</v>
      </c>
      <c r="B35" s="18" t="s">
        <v>314</v>
      </c>
      <c r="C35" s="107">
        <v>2025</v>
      </c>
      <c r="D35" s="18"/>
      <c r="E35" s="18" t="s">
        <v>280</v>
      </c>
      <c r="F35" s="20">
        <v>9691</v>
      </c>
    </row>
    <row r="36" spans="1:6" x14ac:dyDescent="0.25">
      <c r="A36" s="23" t="s">
        <v>88</v>
      </c>
      <c r="B36" s="23" t="s">
        <v>315</v>
      </c>
      <c r="C36" s="107">
        <v>2025</v>
      </c>
      <c r="D36" s="23"/>
      <c r="E36" s="23" t="s">
        <v>287</v>
      </c>
      <c r="F36" s="24">
        <v>289</v>
      </c>
    </row>
    <row r="37" spans="1:6" x14ac:dyDescent="0.25">
      <c r="A37" s="18" t="s">
        <v>88</v>
      </c>
      <c r="B37" s="18" t="s">
        <v>316</v>
      </c>
      <c r="C37" s="107">
        <v>2025</v>
      </c>
      <c r="D37" s="18"/>
      <c r="E37" s="18" t="s">
        <v>284</v>
      </c>
      <c r="F37" s="20">
        <v>286</v>
      </c>
    </row>
    <row r="38" spans="1:6" x14ac:dyDescent="0.25">
      <c r="A38" s="23" t="s">
        <v>88</v>
      </c>
      <c r="B38" s="23" t="s">
        <v>317</v>
      </c>
      <c r="C38" s="107">
        <v>2025</v>
      </c>
      <c r="D38" s="23"/>
      <c r="E38" s="23" t="s">
        <v>287</v>
      </c>
      <c r="F38" s="24">
        <v>500</v>
      </c>
    </row>
    <row r="39" spans="1:6" x14ac:dyDescent="0.25">
      <c r="A39" s="18" t="s">
        <v>318</v>
      </c>
      <c r="B39" s="18" t="s">
        <v>319</v>
      </c>
      <c r="C39" s="107">
        <v>2025</v>
      </c>
      <c r="D39" s="18"/>
      <c r="E39" s="18" t="s">
        <v>284</v>
      </c>
      <c r="F39" s="20">
        <v>1933</v>
      </c>
    </row>
    <row r="40" spans="1:6" x14ac:dyDescent="0.25">
      <c r="A40" s="23" t="s">
        <v>101</v>
      </c>
      <c r="B40" s="23" t="s">
        <v>320</v>
      </c>
      <c r="C40" s="107">
        <v>2025</v>
      </c>
      <c r="D40" s="23"/>
      <c r="E40" s="23" t="s">
        <v>280</v>
      </c>
      <c r="F40" s="24">
        <v>3094</v>
      </c>
    </row>
    <row r="41" spans="1:6" x14ac:dyDescent="0.25">
      <c r="A41" s="18" t="s">
        <v>101</v>
      </c>
      <c r="B41" s="18" t="s">
        <v>321</v>
      </c>
      <c r="C41" s="107">
        <v>2025</v>
      </c>
      <c r="D41" s="18"/>
      <c r="E41" s="18" t="s">
        <v>287</v>
      </c>
      <c r="F41" s="20">
        <v>2967</v>
      </c>
    </row>
    <row r="42" spans="1:6" x14ac:dyDescent="0.25">
      <c r="A42" s="23" t="s">
        <v>115</v>
      </c>
      <c r="B42" s="23" t="s">
        <v>322</v>
      </c>
      <c r="C42" s="107">
        <v>2025</v>
      </c>
      <c r="D42" s="23"/>
      <c r="E42" s="23" t="s">
        <v>284</v>
      </c>
      <c r="F42" s="24">
        <v>490</v>
      </c>
    </row>
    <row r="43" spans="1:6" x14ac:dyDescent="0.25">
      <c r="A43" s="18" t="s">
        <v>115</v>
      </c>
      <c r="B43" s="18" t="s">
        <v>323</v>
      </c>
      <c r="C43" s="107">
        <v>2025</v>
      </c>
      <c r="D43" s="18"/>
      <c r="E43" s="18" t="s">
        <v>287</v>
      </c>
      <c r="F43" s="20">
        <v>341</v>
      </c>
    </row>
    <row r="44" spans="1:6" x14ac:dyDescent="0.25">
      <c r="A44" s="23" t="s">
        <v>115</v>
      </c>
      <c r="B44" s="23" t="s">
        <v>324</v>
      </c>
      <c r="C44" s="107">
        <v>2025</v>
      </c>
      <c r="D44" s="23"/>
      <c r="E44" s="23" t="s">
        <v>287</v>
      </c>
      <c r="F44" s="24">
        <v>541</v>
      </c>
    </row>
    <row r="45" spans="1:6" x14ac:dyDescent="0.25">
      <c r="A45" s="18" t="s">
        <v>115</v>
      </c>
      <c r="B45" s="18" t="s">
        <v>325</v>
      </c>
      <c r="C45" s="107">
        <v>2025</v>
      </c>
      <c r="D45" s="18"/>
      <c r="E45" s="18" t="s">
        <v>287</v>
      </c>
      <c r="F45" s="20">
        <v>713</v>
      </c>
    </row>
    <row r="46" spans="1:6" x14ac:dyDescent="0.25">
      <c r="A46" s="23" t="s">
        <v>120</v>
      </c>
      <c r="B46" s="23" t="s">
        <v>326</v>
      </c>
      <c r="C46" s="107">
        <v>2025</v>
      </c>
      <c r="D46" s="23"/>
      <c r="E46" s="23" t="s">
        <v>287</v>
      </c>
      <c r="F46" s="24">
        <v>1028</v>
      </c>
    </row>
    <row r="47" spans="1:6" x14ac:dyDescent="0.25">
      <c r="A47" s="18" t="s">
        <v>122</v>
      </c>
      <c r="B47" s="18" t="s">
        <v>327</v>
      </c>
      <c r="C47" s="107">
        <v>2025</v>
      </c>
      <c r="D47" s="18"/>
      <c r="E47" s="18" t="s">
        <v>280</v>
      </c>
      <c r="F47" s="20">
        <v>7644</v>
      </c>
    </row>
    <row r="48" spans="1:6" x14ac:dyDescent="0.25">
      <c r="A48" s="23" t="s">
        <v>122</v>
      </c>
      <c r="B48" s="23" t="s">
        <v>328</v>
      </c>
      <c r="C48" s="107">
        <v>2025</v>
      </c>
      <c r="D48" s="23"/>
      <c r="E48" s="23" t="s">
        <v>280</v>
      </c>
      <c r="F48" s="24">
        <v>21438</v>
      </c>
    </row>
    <row r="49" spans="1:6" x14ac:dyDescent="0.25">
      <c r="A49" s="18" t="s">
        <v>131</v>
      </c>
      <c r="B49" s="18" t="s">
        <v>322</v>
      </c>
      <c r="C49" s="107">
        <v>2025</v>
      </c>
      <c r="D49" s="18"/>
      <c r="E49" s="18" t="s">
        <v>284</v>
      </c>
      <c r="F49" s="20">
        <v>487</v>
      </c>
    </row>
    <row r="50" spans="1:6" x14ac:dyDescent="0.25">
      <c r="A50" s="23" t="s">
        <v>144</v>
      </c>
      <c r="B50" s="23" t="s">
        <v>329</v>
      </c>
      <c r="C50" s="107">
        <v>2025</v>
      </c>
      <c r="D50" s="23"/>
      <c r="E50" s="23" t="s">
        <v>284</v>
      </c>
      <c r="F50" s="24">
        <v>450</v>
      </c>
    </row>
    <row r="51" spans="1:6" x14ac:dyDescent="0.25">
      <c r="A51" s="18" t="s">
        <v>144</v>
      </c>
      <c r="B51" s="18" t="s">
        <v>319</v>
      </c>
      <c r="C51" s="107">
        <v>2025</v>
      </c>
      <c r="D51" s="18"/>
      <c r="E51" s="18" t="s">
        <v>284</v>
      </c>
      <c r="F51" s="20">
        <v>1758</v>
      </c>
    </row>
    <row r="52" spans="1:6" s="60" customFormat="1" x14ac:dyDescent="0.25">
      <c r="A52" s="23" t="s">
        <v>144</v>
      </c>
      <c r="B52" s="23" t="s">
        <v>330</v>
      </c>
      <c r="C52" s="107">
        <v>2025</v>
      </c>
      <c r="D52" s="23"/>
      <c r="E52" s="23" t="s">
        <v>287</v>
      </c>
      <c r="F52" s="24">
        <v>1310</v>
      </c>
    </row>
    <row r="53" spans="1:6" s="60" customFormat="1" x14ac:dyDescent="0.25">
      <c r="A53" s="18" t="s">
        <v>144</v>
      </c>
      <c r="B53" s="18" t="s">
        <v>325</v>
      </c>
      <c r="C53" s="107">
        <v>2025</v>
      </c>
      <c r="D53" s="18"/>
      <c r="E53" s="18" t="s">
        <v>287</v>
      </c>
      <c r="F53" s="20">
        <v>682</v>
      </c>
    </row>
    <row r="54" spans="1:6" s="60" customFormat="1" x14ac:dyDescent="0.25">
      <c r="A54" s="23" t="s">
        <v>144</v>
      </c>
      <c r="B54" s="23" t="s">
        <v>331</v>
      </c>
      <c r="C54" s="107">
        <v>2025</v>
      </c>
      <c r="D54" s="23"/>
      <c r="E54" s="23" t="s">
        <v>287</v>
      </c>
      <c r="F54" s="24">
        <v>700</v>
      </c>
    </row>
    <row r="55" spans="1:6" s="60" customFormat="1" x14ac:dyDescent="0.25">
      <c r="A55" s="18" t="s">
        <v>332</v>
      </c>
      <c r="B55" s="18" t="s">
        <v>333</v>
      </c>
      <c r="C55" s="107">
        <v>2025</v>
      </c>
      <c r="D55" s="18"/>
      <c r="E55" s="18" t="s">
        <v>287</v>
      </c>
      <c r="F55" s="20">
        <v>302</v>
      </c>
    </row>
    <row r="56" spans="1:6" s="60" customFormat="1" x14ac:dyDescent="0.25">
      <c r="A56" s="23" t="s">
        <v>332</v>
      </c>
      <c r="B56" s="23" t="s">
        <v>334</v>
      </c>
      <c r="C56" s="107">
        <v>2025</v>
      </c>
      <c r="D56" s="23"/>
      <c r="E56" s="23" t="s">
        <v>287</v>
      </c>
      <c r="F56" s="24">
        <v>599</v>
      </c>
    </row>
    <row r="57" spans="1:6" s="60" customFormat="1" x14ac:dyDescent="0.25">
      <c r="A57" s="18" t="s">
        <v>332</v>
      </c>
      <c r="B57" s="18" t="s">
        <v>335</v>
      </c>
      <c r="C57" s="107">
        <v>2025</v>
      </c>
      <c r="D57" s="18"/>
      <c r="E57" s="18" t="s">
        <v>287</v>
      </c>
      <c r="F57" s="20">
        <v>896</v>
      </c>
    </row>
    <row r="58" spans="1:6" s="60" customFormat="1" x14ac:dyDescent="0.25">
      <c r="A58" s="23" t="s">
        <v>332</v>
      </c>
      <c r="B58" s="23" t="s">
        <v>336</v>
      </c>
      <c r="C58" s="107">
        <v>2025</v>
      </c>
      <c r="D58" s="23"/>
      <c r="E58" s="23" t="s">
        <v>287</v>
      </c>
      <c r="F58" s="24">
        <v>757</v>
      </c>
    </row>
    <row r="59" spans="1:6" s="60" customFormat="1" x14ac:dyDescent="0.25">
      <c r="A59" s="18" t="s">
        <v>172</v>
      </c>
      <c r="B59" s="18" t="s">
        <v>325</v>
      </c>
      <c r="C59" s="107">
        <v>2025</v>
      </c>
      <c r="D59" s="18"/>
      <c r="E59" s="18" t="s">
        <v>287</v>
      </c>
      <c r="F59" s="20">
        <v>789</v>
      </c>
    </row>
    <row r="60" spans="1:6" s="60" customFormat="1" x14ac:dyDescent="0.25">
      <c r="A60" s="23" t="s">
        <v>176</v>
      </c>
      <c r="B60" s="23" t="s">
        <v>337</v>
      </c>
      <c r="C60" s="107">
        <v>2025</v>
      </c>
      <c r="D60" s="23"/>
      <c r="E60" s="23" t="s">
        <v>284</v>
      </c>
      <c r="F60" s="24">
        <v>816</v>
      </c>
    </row>
    <row r="61" spans="1:6" s="60" customFormat="1" x14ac:dyDescent="0.25">
      <c r="A61" s="18" t="s">
        <v>338</v>
      </c>
      <c r="B61" s="18" t="s">
        <v>339</v>
      </c>
      <c r="C61" s="107">
        <v>2025</v>
      </c>
      <c r="D61" s="18"/>
      <c r="E61" s="18" t="s">
        <v>284</v>
      </c>
      <c r="F61" s="20">
        <v>1293</v>
      </c>
    </row>
    <row r="62" spans="1:6" s="60" customFormat="1" x14ac:dyDescent="0.25">
      <c r="A62" s="23" t="s">
        <v>338</v>
      </c>
      <c r="B62" s="23" t="s">
        <v>340</v>
      </c>
      <c r="C62" s="107">
        <v>2025</v>
      </c>
      <c r="D62" s="23"/>
      <c r="E62" s="23" t="s">
        <v>284</v>
      </c>
      <c r="F62" s="24">
        <v>520</v>
      </c>
    </row>
    <row r="63" spans="1:6" s="60" customFormat="1" x14ac:dyDescent="0.25">
      <c r="A63" s="18" t="s">
        <v>217</v>
      </c>
      <c r="B63" s="18" t="s">
        <v>339</v>
      </c>
      <c r="C63" s="107">
        <v>2025</v>
      </c>
      <c r="D63" s="18"/>
      <c r="E63" s="18" t="s">
        <v>284</v>
      </c>
      <c r="F63" s="20">
        <v>1269</v>
      </c>
    </row>
    <row r="64" spans="1:6" s="60" customFormat="1" x14ac:dyDescent="0.25">
      <c r="A64" s="23" t="s">
        <v>341</v>
      </c>
      <c r="B64" s="23" t="s">
        <v>325</v>
      </c>
      <c r="C64" s="107">
        <v>2025</v>
      </c>
      <c r="D64" s="23"/>
      <c r="E64" s="23" t="s">
        <v>287</v>
      </c>
      <c r="F64" s="24">
        <v>783</v>
      </c>
    </row>
    <row r="65" spans="1:6" s="60" customFormat="1" x14ac:dyDescent="0.25">
      <c r="A65" s="18" t="s">
        <v>230</v>
      </c>
      <c r="B65" s="18" t="s">
        <v>342</v>
      </c>
      <c r="C65" s="107">
        <v>2025</v>
      </c>
      <c r="D65" s="18"/>
      <c r="E65" s="18" t="s">
        <v>284</v>
      </c>
      <c r="F65" s="20">
        <v>362</v>
      </c>
    </row>
    <row r="66" spans="1:6" s="60" customFormat="1" x14ac:dyDescent="0.25">
      <c r="A66" s="23" t="s">
        <v>230</v>
      </c>
      <c r="B66" s="23" t="s">
        <v>343</v>
      </c>
      <c r="C66" s="107">
        <v>2025</v>
      </c>
      <c r="D66" s="23"/>
      <c r="E66" s="23" t="s">
        <v>284</v>
      </c>
      <c r="F66" s="24">
        <v>476</v>
      </c>
    </row>
    <row r="67" spans="1:6" s="60" customFormat="1" x14ac:dyDescent="0.25">
      <c r="A67" s="18" t="s">
        <v>230</v>
      </c>
      <c r="B67" s="18" t="s">
        <v>344</v>
      </c>
      <c r="C67" s="107">
        <v>2025</v>
      </c>
      <c r="D67" s="18"/>
      <c r="E67" s="18" t="s">
        <v>284</v>
      </c>
      <c r="F67" s="20">
        <v>506</v>
      </c>
    </row>
    <row r="68" spans="1:6" s="60" customFormat="1" x14ac:dyDescent="0.25">
      <c r="A68" s="23" t="s">
        <v>230</v>
      </c>
      <c r="B68" s="23" t="s">
        <v>345</v>
      </c>
      <c r="C68" s="107">
        <v>2025</v>
      </c>
      <c r="D68" s="23"/>
      <c r="E68" s="23" t="s">
        <v>280</v>
      </c>
      <c r="F68" s="24">
        <v>6686</v>
      </c>
    </row>
    <row r="69" spans="1:6" s="60" customFormat="1" x14ac:dyDescent="0.25">
      <c r="A69" s="18" t="s">
        <v>346</v>
      </c>
      <c r="B69" s="18" t="s">
        <v>307</v>
      </c>
      <c r="C69" s="107">
        <v>2025</v>
      </c>
      <c r="D69" s="18"/>
      <c r="E69" s="18" t="s">
        <v>287</v>
      </c>
      <c r="F69" s="20">
        <v>772</v>
      </c>
    </row>
    <row r="70" spans="1:6" s="60" customFormat="1" x14ac:dyDescent="0.25">
      <c r="A70" s="23" t="s">
        <v>239</v>
      </c>
      <c r="B70" s="23" t="s">
        <v>347</v>
      </c>
      <c r="C70" s="107">
        <v>2025</v>
      </c>
      <c r="D70" s="23"/>
      <c r="E70" s="23" t="s">
        <v>284</v>
      </c>
      <c r="F70" s="24">
        <v>182</v>
      </c>
    </row>
    <row r="71" spans="1:6" s="60" customFormat="1" x14ac:dyDescent="0.25">
      <c r="A71" s="18" t="s">
        <v>348</v>
      </c>
      <c r="B71" s="18" t="s">
        <v>349</v>
      </c>
      <c r="C71" s="107">
        <v>2025</v>
      </c>
      <c r="D71" s="18"/>
      <c r="E71" s="18" t="s">
        <v>287</v>
      </c>
      <c r="F71" s="20">
        <v>186</v>
      </c>
    </row>
    <row r="72" spans="1:6" x14ac:dyDescent="0.25">
      <c r="A72" s="110">
        <v>46075</v>
      </c>
      <c r="B72" s="104" t="s">
        <v>561</v>
      </c>
      <c r="C72" s="105">
        <v>2026</v>
      </c>
      <c r="D72" s="104"/>
      <c r="E72" s="104" t="s">
        <v>560</v>
      </c>
      <c r="F72" s="106">
        <v>130</v>
      </c>
    </row>
    <row r="73" spans="1:6" x14ac:dyDescent="0.25">
      <c r="A73" s="104"/>
      <c r="B73" s="104"/>
      <c r="C73" s="105"/>
      <c r="D73" s="104"/>
      <c r="E73" s="104"/>
      <c r="F73" s="106"/>
    </row>
    <row r="74" spans="1:6" x14ac:dyDescent="0.25">
      <c r="A74" s="104"/>
      <c r="B74" s="104"/>
      <c r="C74" s="105"/>
      <c r="D74" s="104"/>
      <c r="E74" s="104"/>
      <c r="F74" s="106"/>
    </row>
    <row r="75" spans="1:6" x14ac:dyDescent="0.25">
      <c r="A75" s="104"/>
      <c r="B75" s="104"/>
      <c r="C75" s="105"/>
      <c r="D75" s="104"/>
      <c r="E75" s="104"/>
      <c r="F75" s="106"/>
    </row>
    <row r="76" spans="1:6" x14ac:dyDescent="0.25">
      <c r="A76" s="104"/>
      <c r="B76" s="104"/>
      <c r="C76" s="105"/>
      <c r="D76" s="104"/>
      <c r="E76" s="104"/>
      <c r="F76" s="106"/>
    </row>
    <row r="77" spans="1:6" x14ac:dyDescent="0.25">
      <c r="A77" s="104"/>
      <c r="B77" s="104"/>
      <c r="C77" s="105"/>
      <c r="D77" s="104"/>
      <c r="E77" s="104"/>
      <c r="F77" s="106"/>
    </row>
    <row r="78" spans="1:6" x14ac:dyDescent="0.25">
      <c r="A78" s="104"/>
      <c r="B78" s="104"/>
      <c r="C78" s="105"/>
      <c r="D78" s="104"/>
      <c r="E78" s="104"/>
      <c r="F78" s="106"/>
    </row>
    <row r="79" spans="1:6" x14ac:dyDescent="0.25">
      <c r="A79" s="104"/>
      <c r="B79" s="104"/>
      <c r="C79" s="105"/>
      <c r="D79" s="104"/>
      <c r="E79" s="104"/>
      <c r="F79" s="106"/>
    </row>
    <row r="80" spans="1:6" x14ac:dyDescent="0.25">
      <c r="A80" s="104"/>
      <c r="B80" s="104"/>
      <c r="C80" s="105"/>
      <c r="D80" s="104"/>
      <c r="E80" s="104"/>
      <c r="F80" s="106"/>
    </row>
    <row r="81" spans="1:6" x14ac:dyDescent="0.25">
      <c r="A81" s="104"/>
      <c r="B81" s="104"/>
      <c r="C81" s="105"/>
      <c r="D81" s="104"/>
      <c r="E81" s="104"/>
      <c r="F81" s="106"/>
    </row>
    <row r="82" spans="1:6" x14ac:dyDescent="0.25">
      <c r="A82" s="104"/>
      <c r="B82" s="104"/>
      <c r="C82" s="105"/>
      <c r="D82" s="104"/>
      <c r="E82" s="104"/>
      <c r="F82" s="106"/>
    </row>
    <row r="83" spans="1:6" x14ac:dyDescent="0.25">
      <c r="A83" s="104"/>
      <c r="B83" s="104"/>
      <c r="C83" s="105"/>
      <c r="D83" s="104"/>
      <c r="E83" s="104"/>
      <c r="F83" s="106"/>
    </row>
    <row r="84" spans="1:6" x14ac:dyDescent="0.25">
      <c r="A84" s="104"/>
      <c r="B84" s="104"/>
      <c r="C84" s="105"/>
      <c r="D84" s="104"/>
      <c r="E84" s="104"/>
      <c r="F84" s="106"/>
    </row>
    <row r="85" spans="1:6" x14ac:dyDescent="0.25">
      <c r="A85" s="104"/>
      <c r="B85" s="104"/>
      <c r="C85" s="105"/>
      <c r="D85" s="104"/>
      <c r="E85" s="104"/>
      <c r="F85" s="106"/>
    </row>
    <row r="86" spans="1:6" x14ac:dyDescent="0.25">
      <c r="A86" s="104"/>
      <c r="B86" s="104"/>
      <c r="C86" s="105"/>
      <c r="D86" s="104"/>
      <c r="E86" s="104"/>
      <c r="F86" s="106"/>
    </row>
    <row r="87" spans="1:6" x14ac:dyDescent="0.25">
      <c r="A87" s="104"/>
      <c r="B87" s="104"/>
      <c r="C87" s="105"/>
      <c r="D87" s="104"/>
      <c r="E87" s="104"/>
      <c r="F87" s="106"/>
    </row>
    <row r="88" spans="1:6" x14ac:dyDescent="0.25">
      <c r="A88" s="104"/>
      <c r="B88" s="104"/>
      <c r="C88" s="105"/>
      <c r="D88" s="104"/>
      <c r="E88" s="104"/>
      <c r="F88" s="106"/>
    </row>
    <row r="89" spans="1:6" x14ac:dyDescent="0.25">
      <c r="A89" s="104"/>
      <c r="B89" s="104"/>
      <c r="C89" s="105"/>
      <c r="D89" s="104"/>
      <c r="E89" s="104"/>
      <c r="F89" s="106"/>
    </row>
    <row r="90" spans="1:6" x14ac:dyDescent="0.25">
      <c r="A90" s="104"/>
      <c r="B90" s="104"/>
      <c r="C90" s="105"/>
      <c r="D90" s="104"/>
      <c r="E90" s="104"/>
      <c r="F90" s="106"/>
    </row>
    <row r="91" spans="1:6" x14ac:dyDescent="0.25">
      <c r="A91" s="104"/>
      <c r="B91" s="104"/>
      <c r="C91" s="105"/>
      <c r="D91" s="104"/>
      <c r="E91" s="104"/>
      <c r="F91" s="106"/>
    </row>
    <row r="92" spans="1:6" x14ac:dyDescent="0.25">
      <c r="A92" s="148" t="s">
        <v>350</v>
      </c>
      <c r="B92" s="146"/>
      <c r="C92" s="146"/>
      <c r="D92" s="146"/>
      <c r="E92" s="147"/>
      <c r="F92" s="4">
        <f>SUM(F5:F91)</f>
        <v>128200</v>
      </c>
    </row>
    <row r="94" spans="1:6" ht="15.75" thickBot="1" x14ac:dyDescent="0.3">
      <c r="A94" s="140" t="s">
        <v>351</v>
      </c>
      <c r="B94" s="138"/>
      <c r="C94" s="138"/>
      <c r="D94" s="138"/>
      <c r="E94" s="138"/>
      <c r="F94" s="138"/>
    </row>
    <row r="95" spans="1:6" ht="15.75" thickBot="1" x14ac:dyDescent="0.3">
      <c r="A95" s="9" t="s">
        <v>277</v>
      </c>
      <c r="B95" s="9" t="s">
        <v>352</v>
      </c>
      <c r="C95" s="9" t="s">
        <v>353</v>
      </c>
      <c r="D95" s="9" t="s">
        <v>354</v>
      </c>
      <c r="E95" s="9"/>
      <c r="F95" s="9"/>
    </row>
    <row r="96" spans="1:6" x14ac:dyDescent="0.25">
      <c r="A96" s="17" t="s">
        <v>287</v>
      </c>
      <c r="B96" s="25">
        <v>5317</v>
      </c>
      <c r="C96" s="25">
        <v>16528</v>
      </c>
      <c r="D96" s="25">
        <f>B96+C96</f>
        <v>21845</v>
      </c>
      <c r="E96" s="17"/>
      <c r="F96" s="17"/>
    </row>
    <row r="97" spans="1:6" x14ac:dyDescent="0.25">
      <c r="A97" s="14" t="s">
        <v>284</v>
      </c>
      <c r="B97" s="16">
        <v>2059</v>
      </c>
      <c r="C97" s="16">
        <v>14080</v>
      </c>
      <c r="D97" s="16">
        <f>B97+C97</f>
        <v>16139</v>
      </c>
      <c r="E97" s="14"/>
      <c r="F97" s="14"/>
    </row>
    <row r="98" spans="1:6" x14ac:dyDescent="0.25">
      <c r="A98" s="17" t="s">
        <v>280</v>
      </c>
      <c r="B98" s="25">
        <v>34533</v>
      </c>
      <c r="C98" s="25">
        <v>48553</v>
      </c>
      <c r="D98" s="25">
        <f>B98+C98</f>
        <v>83086</v>
      </c>
      <c r="E98" s="17"/>
      <c r="F98" s="17"/>
    </row>
    <row r="99" spans="1:6" x14ac:dyDescent="0.25">
      <c r="A99" s="14" t="s">
        <v>301</v>
      </c>
      <c r="B99" s="16">
        <v>7000</v>
      </c>
      <c r="C99" s="16">
        <v>0</v>
      </c>
      <c r="D99" s="16">
        <f>B99+C99</f>
        <v>7000</v>
      </c>
      <c r="E99" s="14"/>
      <c r="F99" s="14"/>
    </row>
    <row r="100" spans="1:6" x14ac:dyDescent="0.25">
      <c r="A100" s="36" t="s">
        <v>355</v>
      </c>
      <c r="B100" s="4">
        <v>48909</v>
      </c>
      <c r="C100" s="4">
        <v>79161</v>
      </c>
      <c r="D100" s="4">
        <f>B100+C100</f>
        <v>128070</v>
      </c>
    </row>
  </sheetData>
  <mergeCells count="4">
    <mergeCell ref="A92:E92"/>
    <mergeCell ref="A3:F3"/>
    <mergeCell ref="A1:F1"/>
    <mergeCell ref="A94:F94"/>
  </mergeCells>
  <dataValidations count="1">
    <dataValidation type="list" allowBlank="1" showInputMessage="1" showErrorMessage="1" sqref="E5:E91" xr:uid="{05E12886-2E74-4740-BB76-BAEA153FF2B8}">
      <formula1>"Техника, Расходники, Тех. Жидкости, Запчасти, Реклама"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showGridLines="0" workbookViewId="0">
      <selection activeCell="D24" sqref="D24"/>
    </sheetView>
  </sheetViews>
  <sheetFormatPr defaultRowHeight="15" x14ac:dyDescent="0.25"/>
  <cols>
    <col min="1" max="1" width="36.85546875" style="34" bestFit="1" customWidth="1"/>
    <col min="2" max="2" width="20.85546875" style="34" bestFit="1" customWidth="1"/>
    <col min="3" max="3" width="16.42578125" style="34" bestFit="1" customWidth="1"/>
    <col min="4" max="4" width="19.7109375" style="34" bestFit="1" customWidth="1"/>
    <col min="5" max="5" width="22.85546875" style="34" bestFit="1" customWidth="1"/>
    <col min="6" max="6" width="28.28515625" style="34" bestFit="1" customWidth="1"/>
    <col min="7" max="7" width="41.7109375" style="34" bestFit="1" customWidth="1"/>
    <col min="8" max="8" width="18.5703125" style="34" bestFit="1" customWidth="1"/>
  </cols>
  <sheetData>
    <row r="1" spans="1:8" ht="36" customHeight="1" x14ac:dyDescent="0.25">
      <c r="A1" s="137" t="s">
        <v>356</v>
      </c>
      <c r="B1" s="138"/>
      <c r="C1" s="138"/>
      <c r="D1" s="138"/>
      <c r="E1" s="138"/>
      <c r="F1" s="138"/>
      <c r="G1" s="138"/>
      <c r="H1" s="139"/>
    </row>
    <row r="3" spans="1:8" x14ac:dyDescent="0.25">
      <c r="A3" s="140" t="s">
        <v>357</v>
      </c>
      <c r="B3" s="138"/>
      <c r="C3" s="138"/>
      <c r="D3" s="138"/>
      <c r="E3" s="138"/>
      <c r="F3" s="138"/>
      <c r="G3" s="138"/>
      <c r="H3" s="139"/>
    </row>
    <row r="4" spans="1:8" x14ac:dyDescent="0.25">
      <c r="A4" s="9" t="s">
        <v>280</v>
      </c>
      <c r="B4" s="9" t="s">
        <v>358</v>
      </c>
      <c r="C4" s="9" t="s">
        <v>359</v>
      </c>
      <c r="D4" s="9" t="s">
        <v>360</v>
      </c>
      <c r="E4" s="9" t="s">
        <v>361</v>
      </c>
      <c r="F4" s="9" t="s">
        <v>362</v>
      </c>
      <c r="G4" s="9" t="s">
        <v>363</v>
      </c>
      <c r="H4" s="9"/>
    </row>
    <row r="5" spans="1:8" x14ac:dyDescent="0.25">
      <c r="A5" s="17" t="s">
        <v>364</v>
      </c>
      <c r="B5" s="26">
        <v>1</v>
      </c>
      <c r="C5" s="40">
        <v>45444</v>
      </c>
      <c r="D5" s="25">
        <v>26481</v>
      </c>
      <c r="E5" s="17" t="s">
        <v>548</v>
      </c>
      <c r="F5" s="17"/>
      <c r="G5" s="17"/>
      <c r="H5" s="17"/>
    </row>
    <row r="6" spans="1:8" x14ac:dyDescent="0.25">
      <c r="A6" s="14" t="s">
        <v>365</v>
      </c>
      <c r="B6" s="15">
        <v>1</v>
      </c>
      <c r="C6" s="17" t="s">
        <v>366</v>
      </c>
      <c r="D6" s="16">
        <v>21438</v>
      </c>
      <c r="E6" s="71" t="s">
        <v>548</v>
      </c>
      <c r="F6" s="14"/>
      <c r="G6" s="14"/>
      <c r="H6" s="14"/>
    </row>
    <row r="7" spans="1:8" x14ac:dyDescent="0.25">
      <c r="A7" s="43" t="s">
        <v>367</v>
      </c>
      <c r="B7" s="44">
        <v>1</v>
      </c>
      <c r="C7" s="43" t="s">
        <v>368</v>
      </c>
      <c r="D7" s="45">
        <v>8052</v>
      </c>
      <c r="E7" s="43" t="s">
        <v>549</v>
      </c>
      <c r="F7" s="43"/>
      <c r="G7" s="43"/>
      <c r="H7" s="43"/>
    </row>
    <row r="8" spans="1:8" x14ac:dyDescent="0.25">
      <c r="A8" s="43" t="s">
        <v>369</v>
      </c>
      <c r="B8" s="44">
        <v>1</v>
      </c>
      <c r="C8" s="43" t="s">
        <v>366</v>
      </c>
      <c r="D8" s="45">
        <v>7644</v>
      </c>
      <c r="E8" s="43" t="s">
        <v>550</v>
      </c>
      <c r="F8" s="43"/>
      <c r="G8" s="43"/>
      <c r="H8" s="43"/>
    </row>
    <row r="9" spans="1:8" x14ac:dyDescent="0.25">
      <c r="A9" s="43" t="s">
        <v>370</v>
      </c>
      <c r="B9" s="44">
        <v>1</v>
      </c>
      <c r="C9" s="43"/>
      <c r="D9" s="46">
        <v>8052</v>
      </c>
      <c r="E9" s="43" t="s">
        <v>551</v>
      </c>
      <c r="F9" s="43"/>
      <c r="G9" s="43"/>
      <c r="H9" s="43"/>
    </row>
    <row r="10" spans="1:8" x14ac:dyDescent="0.25">
      <c r="A10" s="14" t="s">
        <v>371</v>
      </c>
      <c r="B10" s="15">
        <v>1</v>
      </c>
      <c r="C10" s="14" t="s">
        <v>372</v>
      </c>
      <c r="D10" s="16">
        <v>9691</v>
      </c>
      <c r="E10" s="14" t="s">
        <v>551</v>
      </c>
      <c r="F10" s="14"/>
      <c r="G10" s="14"/>
      <c r="H10" s="14"/>
    </row>
    <row r="11" spans="1:8" x14ac:dyDescent="0.25">
      <c r="A11" s="17" t="s">
        <v>373</v>
      </c>
      <c r="B11" s="26">
        <v>1</v>
      </c>
      <c r="C11" s="17" t="s">
        <v>366</v>
      </c>
      <c r="D11" s="25">
        <v>3094</v>
      </c>
      <c r="E11" s="17" t="s">
        <v>552</v>
      </c>
      <c r="F11" s="17"/>
      <c r="G11" s="17"/>
      <c r="H11" s="17"/>
    </row>
    <row r="12" spans="1:8" x14ac:dyDescent="0.25">
      <c r="A12" s="14" t="s">
        <v>374</v>
      </c>
      <c r="B12" s="15">
        <v>1</v>
      </c>
      <c r="C12" s="14" t="s">
        <v>375</v>
      </c>
      <c r="D12" s="16">
        <v>6686</v>
      </c>
      <c r="E12" s="14" t="s">
        <v>552</v>
      </c>
      <c r="F12" s="14"/>
      <c r="G12" s="14"/>
      <c r="H12" s="14"/>
    </row>
    <row r="13" spans="1:8" x14ac:dyDescent="0.25">
      <c r="A13" s="47" t="s">
        <v>376</v>
      </c>
      <c r="B13" s="48">
        <v>1</v>
      </c>
      <c r="C13" s="47" t="s">
        <v>377</v>
      </c>
      <c r="D13" s="49">
        <v>18179</v>
      </c>
      <c r="E13" s="47" t="s">
        <v>557</v>
      </c>
      <c r="F13" s="47"/>
      <c r="G13" s="47"/>
      <c r="H13" s="47"/>
    </row>
    <row r="14" spans="1:8" x14ac:dyDescent="0.25">
      <c r="A14" s="50" t="s">
        <v>378</v>
      </c>
      <c r="B14" s="51">
        <v>1</v>
      </c>
      <c r="C14" s="50" t="s">
        <v>377</v>
      </c>
      <c r="D14" s="52">
        <v>19990</v>
      </c>
      <c r="E14" s="50" t="s">
        <v>557</v>
      </c>
      <c r="F14" s="50"/>
      <c r="G14" s="50"/>
      <c r="H14" s="50"/>
    </row>
    <row r="15" spans="1:8" ht="24" customHeight="1" x14ac:dyDescent="0.25"/>
    <row r="16" spans="1:8" ht="15.75" thickBot="1" x14ac:dyDescent="0.3">
      <c r="A16" s="35" t="s">
        <v>379</v>
      </c>
      <c r="B16" s="41"/>
      <c r="C16" s="41"/>
      <c r="D16" s="41"/>
      <c r="E16" s="41"/>
      <c r="F16" s="41"/>
      <c r="G16" s="41"/>
      <c r="H16" s="42"/>
    </row>
    <row r="17" spans="1:8" ht="15.75" thickBot="1" x14ac:dyDescent="0.3">
      <c r="A17" s="9" t="s">
        <v>280</v>
      </c>
      <c r="B17" s="9" t="s">
        <v>380</v>
      </c>
      <c r="C17" s="9" t="s">
        <v>556</v>
      </c>
      <c r="D17" s="9" t="str">
        <f>'[1]Журнал ТО'!F1</f>
        <v>Проведенные работы</v>
      </c>
      <c r="E17" s="9" t="str">
        <f>'[1]Журнал ТО'!G1</f>
        <v>Запчасти / материалы</v>
      </c>
      <c r="F17" s="9" t="str">
        <f>'[1]Журнал ТО'!H1</f>
        <v>Стоимость (₽)</v>
      </c>
      <c r="G17" s="9" t="str">
        <f>'[1]Журнал ТО'!I1</f>
        <v>Кто выполнял</v>
      </c>
      <c r="H17" s="9" t="str">
        <f>'[1]Журнал ТО'!J1</f>
        <v>Следующее ТО (дата/мч)</v>
      </c>
    </row>
    <row r="18" spans="1:8" x14ac:dyDescent="0.25">
      <c r="A18" s="17"/>
      <c r="B18" s="17"/>
      <c r="C18" s="17"/>
      <c r="D18" s="17"/>
      <c r="E18" s="17"/>
      <c r="F18" s="17"/>
      <c r="G18" s="27"/>
      <c r="H18" s="17"/>
    </row>
    <row r="19" spans="1:8" x14ac:dyDescent="0.25">
      <c r="A19" s="14"/>
      <c r="B19" s="14"/>
      <c r="C19" s="14"/>
      <c r="D19" s="14"/>
      <c r="E19" s="14"/>
      <c r="F19" s="14"/>
      <c r="G19" s="28"/>
      <c r="H19" s="14"/>
    </row>
    <row r="20" spans="1:8" x14ac:dyDescent="0.25">
      <c r="A20" s="17"/>
      <c r="B20" s="17"/>
      <c r="C20" s="17"/>
      <c r="D20" s="17"/>
      <c r="E20" s="17"/>
      <c r="F20" s="17"/>
      <c r="G20" s="27"/>
      <c r="H20" s="17"/>
    </row>
    <row r="21" spans="1:8" x14ac:dyDescent="0.25">
      <c r="A21" s="14"/>
      <c r="B21" s="14"/>
      <c r="C21" s="14"/>
      <c r="D21" s="14"/>
      <c r="E21" s="14"/>
      <c r="F21" s="14"/>
      <c r="G21" s="28"/>
      <c r="H21" s="14"/>
    </row>
    <row r="22" spans="1:8" x14ac:dyDescent="0.25">
      <c r="A22" s="17"/>
      <c r="B22" s="17"/>
      <c r="C22" s="17"/>
      <c r="D22" s="17"/>
      <c r="E22" s="17"/>
      <c r="F22" s="17"/>
      <c r="G22" s="27"/>
      <c r="H22" s="17"/>
    </row>
    <row r="23" spans="1:8" x14ac:dyDescent="0.25">
      <c r="A23" s="14"/>
      <c r="B23" s="14"/>
      <c r="C23" s="14"/>
      <c r="D23" s="14"/>
      <c r="E23" s="14"/>
      <c r="F23" s="14"/>
      <c r="G23" s="28"/>
      <c r="H23" s="14"/>
    </row>
    <row r="24" spans="1:8" x14ac:dyDescent="0.25">
      <c r="A24" s="17"/>
      <c r="B24" s="17"/>
      <c r="C24" s="17"/>
      <c r="D24" s="17"/>
      <c r="E24" s="17"/>
      <c r="F24" s="17"/>
      <c r="G24" s="27"/>
      <c r="H24" s="17"/>
    </row>
    <row r="25" spans="1:8" x14ac:dyDescent="0.25">
      <c r="A25" s="14"/>
      <c r="B25" s="14"/>
      <c r="C25" s="14"/>
      <c r="D25" s="14"/>
      <c r="E25" s="14"/>
      <c r="F25" s="14"/>
      <c r="G25" s="28"/>
      <c r="H25" s="14"/>
    </row>
  </sheetData>
  <mergeCells count="2">
    <mergeCell ref="A3:H3"/>
    <mergeCell ref="A1:H1"/>
  </mergeCells>
  <dataValidations count="3">
    <dataValidation type="list" allowBlank="1" prompt="Выберите статус техники" sqref="E15:E16" xr:uid="{00000000-0002-0000-0300-000000000000}">
      <formula1>"✅ Рабочая,✅ Рабочий,✅ Рабочие,🔧 В ремонте,📦 Новая (план.покупка),⛔ Неисправна,🗑 Списана"</formula1>
    </dataValidation>
    <dataValidation type="list" allowBlank="1" prompt="Выберите статус обслуживания" sqref="H18:H28" xr:uid="{00000000-0002-0000-0300-000001000000}">
      <formula1>"✅ Выполнено,✅ Есть запас,⚠️ Запланировать,🔄 Регулярно,🔧 В процессе,❌ Не выполнено"</formula1>
    </dataValidation>
    <dataValidation type="list" allowBlank="1" prompt="Выберите статус техники" sqref="E5:E14" xr:uid="{3FFBE1D8-026B-45AA-8405-A68E6E1435FA}">
      <formula1>"Рабочая,Рабочий,Рабочие,В ремонте,Обслужить,,Новая (план.покупка),Неисправна,Списана"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3"/>
  <sheetViews>
    <sheetView showGridLines="0" workbookViewId="0">
      <selection activeCell="D26" sqref="D26"/>
    </sheetView>
  </sheetViews>
  <sheetFormatPr defaultRowHeight="15" x14ac:dyDescent="0.25"/>
  <cols>
    <col min="1" max="1" width="30" style="34" customWidth="1"/>
    <col min="2" max="5" width="18" style="34" customWidth="1"/>
    <col min="15" max="17" width="0" hidden="1" customWidth="1"/>
  </cols>
  <sheetData>
    <row r="1" spans="1:17" ht="36" customHeight="1" x14ac:dyDescent="0.25">
      <c r="A1" s="137" t="s">
        <v>381</v>
      </c>
      <c r="B1" s="138"/>
      <c r="C1" s="138"/>
      <c r="D1" s="138"/>
      <c r="E1" s="139"/>
    </row>
    <row r="3" spans="1:17" x14ac:dyDescent="0.25">
      <c r="A3" s="140" t="s">
        <v>382</v>
      </c>
      <c r="B3" s="138"/>
      <c r="C3" s="138"/>
      <c r="D3" s="138"/>
      <c r="E3" s="139"/>
    </row>
    <row r="4" spans="1:17" x14ac:dyDescent="0.25">
      <c r="A4" s="9" t="s">
        <v>2</v>
      </c>
      <c r="B4" s="9" t="s">
        <v>383</v>
      </c>
      <c r="C4" s="9" t="s">
        <v>384</v>
      </c>
      <c r="D4" s="9" t="s">
        <v>385</v>
      </c>
      <c r="E4" s="9" t="s">
        <v>386</v>
      </c>
    </row>
    <row r="5" spans="1:17" ht="25.5" x14ac:dyDescent="0.25">
      <c r="A5" s="17" t="s">
        <v>387</v>
      </c>
      <c r="B5" s="29">
        <v>29</v>
      </c>
      <c r="C5" s="29">
        <v>134</v>
      </c>
      <c r="D5" s="30">
        <v>200</v>
      </c>
      <c r="E5" s="31">
        <f>IFERROR((C5-B5)/ABS(B5),"—")</f>
        <v>3.6206896551724137</v>
      </c>
      <c r="O5" s="74" t="s">
        <v>396</v>
      </c>
      <c r="P5" s="74" t="s">
        <v>398</v>
      </c>
      <c r="Q5" t="s">
        <v>435</v>
      </c>
    </row>
    <row r="6" spans="1:17" ht="25.5" x14ac:dyDescent="0.25">
      <c r="A6" s="14" t="s">
        <v>388</v>
      </c>
      <c r="B6" s="16">
        <v>5669</v>
      </c>
      <c r="C6" s="16">
        <v>7472</v>
      </c>
      <c r="D6" s="32">
        <v>7500</v>
      </c>
      <c r="E6" s="33">
        <f>IFERROR((C6-B6)/ABS(B6),"—")</f>
        <v>0.3180455106720762</v>
      </c>
      <c r="O6" s="74" t="s">
        <v>287</v>
      </c>
      <c r="P6" s="74" t="s">
        <v>395</v>
      </c>
      <c r="Q6" t="s">
        <v>436</v>
      </c>
    </row>
    <row r="7" spans="1:17" x14ac:dyDescent="0.25">
      <c r="A7" s="36" t="s">
        <v>389</v>
      </c>
      <c r="B7" s="25">
        <v>164400</v>
      </c>
      <c r="C7" s="25">
        <v>1001251</v>
      </c>
      <c r="D7" s="32">
        <v>1500000</v>
      </c>
      <c r="E7" s="31">
        <f>IFERROR((C7-B7)/ABS(B7),"—")</f>
        <v>5.0903345498783459</v>
      </c>
      <c r="O7" s="74" t="s">
        <v>399</v>
      </c>
      <c r="P7" s="74" t="s">
        <v>402</v>
      </c>
      <c r="Q7" t="s">
        <v>437</v>
      </c>
    </row>
    <row r="8" spans="1:17" ht="25.5" x14ac:dyDescent="0.25">
      <c r="O8" s="74" t="s">
        <v>417</v>
      </c>
      <c r="P8" s="74" t="s">
        <v>403</v>
      </c>
    </row>
    <row r="9" spans="1:17" ht="25.5" x14ac:dyDescent="0.25">
      <c r="A9" s="140" t="s">
        <v>390</v>
      </c>
      <c r="B9" s="138"/>
      <c r="C9" s="138"/>
      <c r="D9" s="138"/>
      <c r="E9" s="139"/>
      <c r="O9" s="74" t="s">
        <v>426</v>
      </c>
      <c r="P9" s="74" t="s">
        <v>405</v>
      </c>
    </row>
    <row r="10" spans="1:17" ht="15.75" thickBot="1" x14ac:dyDescent="0.3">
      <c r="A10" s="9" t="s">
        <v>391</v>
      </c>
      <c r="B10" s="9" t="s">
        <v>277</v>
      </c>
      <c r="C10" s="9" t="s">
        <v>21</v>
      </c>
      <c r="D10" s="9" t="s">
        <v>392</v>
      </c>
      <c r="E10" s="9" t="s">
        <v>393</v>
      </c>
      <c r="O10" s="74" t="s">
        <v>429</v>
      </c>
      <c r="P10" s="75"/>
    </row>
    <row r="11" spans="1:17" ht="38.25" x14ac:dyDescent="0.25">
      <c r="A11" s="61" t="s">
        <v>418</v>
      </c>
      <c r="B11" s="61" t="s">
        <v>396</v>
      </c>
      <c r="C11" s="61" t="s">
        <v>398</v>
      </c>
      <c r="D11" s="63">
        <v>1185</v>
      </c>
      <c r="E11" s="72"/>
      <c r="O11" s="74" t="s">
        <v>280</v>
      </c>
      <c r="P11" s="75"/>
    </row>
    <row r="12" spans="1:17" ht="38.25" x14ac:dyDescent="0.25">
      <c r="A12" s="61" t="s">
        <v>419</v>
      </c>
      <c r="B12" s="61" t="s">
        <v>396</v>
      </c>
      <c r="C12" s="61" t="s">
        <v>398</v>
      </c>
      <c r="D12" s="63">
        <v>3750</v>
      </c>
      <c r="E12" s="73"/>
      <c r="O12" s="76" t="s">
        <v>301</v>
      </c>
      <c r="P12" s="75"/>
    </row>
    <row r="13" spans="1:17" ht="25.5" x14ac:dyDescent="0.25">
      <c r="A13" s="61" t="s">
        <v>420</v>
      </c>
      <c r="B13" s="61" t="s">
        <v>396</v>
      </c>
      <c r="C13" s="61" t="s">
        <v>398</v>
      </c>
      <c r="D13" s="63">
        <v>1615</v>
      </c>
      <c r="E13" s="73"/>
    </row>
    <row r="14" spans="1:17" ht="25.5" x14ac:dyDescent="0.25">
      <c r="A14" s="61" t="s">
        <v>421</v>
      </c>
      <c r="B14" s="61" t="s">
        <v>396</v>
      </c>
      <c r="C14" s="61" t="s">
        <v>398</v>
      </c>
      <c r="D14" s="63">
        <v>500</v>
      </c>
      <c r="E14" s="62"/>
    </row>
    <row r="15" spans="1:17" ht="25.5" x14ac:dyDescent="0.25">
      <c r="A15" s="61" t="s">
        <v>422</v>
      </c>
      <c r="B15" s="61" t="s">
        <v>396</v>
      </c>
      <c r="C15" s="61" t="s">
        <v>398</v>
      </c>
      <c r="D15" s="63">
        <v>500</v>
      </c>
      <c r="E15" s="62"/>
    </row>
    <row r="16" spans="1:17" x14ac:dyDescent="0.25">
      <c r="A16" s="61" t="s">
        <v>397</v>
      </c>
      <c r="B16" s="61" t="s">
        <v>396</v>
      </c>
      <c r="C16" s="61" t="s">
        <v>398</v>
      </c>
      <c r="D16" s="63"/>
      <c r="E16" s="62"/>
    </row>
    <row r="17" spans="1:5" ht="38.25" x14ac:dyDescent="0.25">
      <c r="A17" s="61" t="s">
        <v>423</v>
      </c>
      <c r="B17" s="61" t="s">
        <v>399</v>
      </c>
      <c r="C17" s="61" t="s">
        <v>398</v>
      </c>
      <c r="D17" s="63">
        <v>1000</v>
      </c>
      <c r="E17" s="62"/>
    </row>
    <row r="18" spans="1:5" ht="38.25" x14ac:dyDescent="0.25">
      <c r="A18" s="61" t="s">
        <v>424</v>
      </c>
      <c r="B18" s="61" t="s">
        <v>287</v>
      </c>
      <c r="C18" s="61" t="s">
        <v>395</v>
      </c>
      <c r="D18" s="63">
        <v>1700</v>
      </c>
      <c r="E18" s="62"/>
    </row>
    <row r="19" spans="1:5" x14ac:dyDescent="0.25">
      <c r="A19" s="61" t="s">
        <v>400</v>
      </c>
      <c r="B19" s="61" t="s">
        <v>401</v>
      </c>
      <c r="C19" s="61" t="s">
        <v>402</v>
      </c>
      <c r="D19" s="63">
        <v>0</v>
      </c>
      <c r="E19" s="62"/>
    </row>
    <row r="20" spans="1:5" ht="38.25" x14ac:dyDescent="0.25">
      <c r="A20" s="61" t="s">
        <v>425</v>
      </c>
      <c r="B20" s="61" t="s">
        <v>426</v>
      </c>
      <c r="C20" s="61" t="s">
        <v>395</v>
      </c>
      <c r="D20" s="64">
        <v>5300</v>
      </c>
      <c r="E20" s="62"/>
    </row>
    <row r="21" spans="1:5" s="59" customFormat="1" ht="25.5" x14ac:dyDescent="0.25">
      <c r="A21" s="61" t="s">
        <v>427</v>
      </c>
      <c r="B21" s="61" t="s">
        <v>426</v>
      </c>
      <c r="C21" s="61" t="s">
        <v>395</v>
      </c>
      <c r="D21" s="64">
        <v>1500</v>
      </c>
      <c r="E21" s="62"/>
    </row>
    <row r="22" spans="1:5" s="59" customFormat="1" ht="63.75" x14ac:dyDescent="0.25">
      <c r="A22" s="61" t="s">
        <v>428</v>
      </c>
      <c r="B22" s="61" t="s">
        <v>429</v>
      </c>
      <c r="C22" s="61" t="s">
        <v>395</v>
      </c>
      <c r="D22" s="64">
        <v>770</v>
      </c>
      <c r="E22" s="62"/>
    </row>
    <row r="23" spans="1:5" s="59" customFormat="1" ht="25.5" x14ac:dyDescent="0.25">
      <c r="A23" s="61" t="s">
        <v>430</v>
      </c>
      <c r="B23" s="61" t="s">
        <v>429</v>
      </c>
      <c r="C23" s="61" t="s">
        <v>395</v>
      </c>
      <c r="D23" s="64">
        <v>500</v>
      </c>
      <c r="E23" s="62"/>
    </row>
    <row r="24" spans="1:5" s="59" customFormat="1" x14ac:dyDescent="0.25">
      <c r="A24" s="61" t="s">
        <v>431</v>
      </c>
      <c r="B24" s="61" t="s">
        <v>429</v>
      </c>
      <c r="C24" s="61" t="s">
        <v>395</v>
      </c>
      <c r="D24" s="64">
        <v>800</v>
      </c>
      <c r="E24" s="62"/>
    </row>
    <row r="25" spans="1:5" s="59" customFormat="1" ht="25.5" x14ac:dyDescent="0.25">
      <c r="A25" s="61" t="s">
        <v>432</v>
      </c>
      <c r="B25" s="61" t="s">
        <v>429</v>
      </c>
      <c r="C25" s="61" t="s">
        <v>395</v>
      </c>
      <c r="D25" s="64">
        <v>400</v>
      </c>
      <c r="E25" s="62"/>
    </row>
    <row r="26" spans="1:5" s="59" customFormat="1" ht="38.25" x14ac:dyDescent="0.25">
      <c r="A26" s="61" t="s">
        <v>433</v>
      </c>
      <c r="B26" s="61" t="s">
        <v>287</v>
      </c>
      <c r="C26" s="61" t="s">
        <v>395</v>
      </c>
      <c r="D26" s="64">
        <v>1600</v>
      </c>
      <c r="E26" s="62"/>
    </row>
    <row r="27" spans="1:5" s="59" customFormat="1" ht="25.5" x14ac:dyDescent="0.25">
      <c r="A27" s="67" t="s">
        <v>434</v>
      </c>
      <c r="B27" s="68" t="s">
        <v>280</v>
      </c>
      <c r="C27" s="68" t="s">
        <v>403</v>
      </c>
      <c r="D27" s="69">
        <v>15990</v>
      </c>
      <c r="E27" s="70"/>
    </row>
    <row r="28" spans="1:5" s="59" customFormat="1" ht="25.5" x14ac:dyDescent="0.25">
      <c r="A28" s="67" t="s">
        <v>434</v>
      </c>
      <c r="B28" s="68" t="s">
        <v>280</v>
      </c>
      <c r="C28" s="68" t="s">
        <v>403</v>
      </c>
      <c r="D28" s="69">
        <v>15990</v>
      </c>
      <c r="E28" s="70"/>
    </row>
    <row r="29" spans="1:5" s="59" customFormat="1" ht="25.5" x14ac:dyDescent="0.25">
      <c r="A29" s="66" t="s">
        <v>404</v>
      </c>
      <c r="B29" s="66" t="s">
        <v>280</v>
      </c>
      <c r="C29" s="66" t="s">
        <v>405</v>
      </c>
      <c r="D29" s="53"/>
      <c r="E29" s="62"/>
    </row>
    <row r="30" spans="1:5" s="59" customFormat="1" x14ac:dyDescent="0.25">
      <c r="A30" s="55" t="s">
        <v>394</v>
      </c>
      <c r="B30" s="55" t="s">
        <v>301</v>
      </c>
      <c r="C30" s="55" t="s">
        <v>395</v>
      </c>
      <c r="D30" s="65"/>
      <c r="E30" s="62"/>
    </row>
    <row r="31" spans="1:5" s="59" customFormat="1" ht="38.25" x14ac:dyDescent="0.25">
      <c r="A31" s="103" t="s">
        <v>555</v>
      </c>
      <c r="B31" s="61" t="s">
        <v>426</v>
      </c>
      <c r="C31" s="61" t="s">
        <v>395</v>
      </c>
      <c r="D31" s="64">
        <v>2900</v>
      </c>
      <c r="E31" s="62"/>
    </row>
    <row r="32" spans="1:5" s="59" customFormat="1" ht="38.25" x14ac:dyDescent="0.25">
      <c r="A32" s="103" t="s">
        <v>558</v>
      </c>
      <c r="B32" s="61" t="s">
        <v>287</v>
      </c>
      <c r="C32" s="61" t="s">
        <v>395</v>
      </c>
      <c r="D32" s="64">
        <v>750</v>
      </c>
      <c r="E32" s="62"/>
    </row>
    <row r="33" spans="1:5" s="59" customFormat="1" x14ac:dyDescent="0.25">
      <c r="A33" s="103" t="s">
        <v>559</v>
      </c>
      <c r="B33" s="61" t="s">
        <v>426</v>
      </c>
      <c r="C33" s="61" t="s">
        <v>395</v>
      </c>
      <c r="D33" s="64">
        <v>2000</v>
      </c>
      <c r="E33" s="62"/>
    </row>
    <row r="34" spans="1:5" s="59" customFormat="1" x14ac:dyDescent="0.25">
      <c r="A34" s="61"/>
      <c r="B34" s="61"/>
      <c r="C34" s="61"/>
      <c r="D34" s="64"/>
      <c r="E34" s="62"/>
    </row>
    <row r="35" spans="1:5" s="59" customFormat="1" x14ac:dyDescent="0.25">
      <c r="A35" s="61"/>
      <c r="B35" s="61"/>
      <c r="C35" s="61"/>
      <c r="D35" s="64"/>
      <c r="E35" s="62"/>
    </row>
    <row r="36" spans="1:5" s="59" customFormat="1" x14ac:dyDescent="0.25">
      <c r="A36" s="61"/>
      <c r="B36" s="61"/>
      <c r="C36" s="61"/>
      <c r="D36" s="64"/>
      <c r="E36" s="62"/>
    </row>
    <row r="37" spans="1:5" s="59" customFormat="1" x14ac:dyDescent="0.25">
      <c r="A37" s="61"/>
      <c r="B37" s="61"/>
      <c r="C37" s="61"/>
      <c r="D37" s="64"/>
      <c r="E37" s="62"/>
    </row>
    <row r="38" spans="1:5" s="59" customFormat="1" x14ac:dyDescent="0.25">
      <c r="A38" s="61"/>
      <c r="B38" s="61"/>
      <c r="C38" s="61"/>
      <c r="D38" s="64"/>
      <c r="E38" s="62"/>
    </row>
    <row r="39" spans="1:5" s="59" customFormat="1" x14ac:dyDescent="0.25">
      <c r="A39" s="61"/>
      <c r="B39" s="61"/>
      <c r="C39" s="61"/>
      <c r="D39" s="64"/>
      <c r="E39" s="62"/>
    </row>
    <row r="40" spans="1:5" s="59" customFormat="1" x14ac:dyDescent="0.25">
      <c r="A40" s="61"/>
      <c r="B40" s="61"/>
      <c r="C40" s="61"/>
      <c r="D40" s="64"/>
      <c r="E40" s="62"/>
    </row>
    <row r="41" spans="1:5" x14ac:dyDescent="0.25">
      <c r="A41" s="36" t="s">
        <v>406</v>
      </c>
      <c r="B41" s="37"/>
      <c r="C41" s="38"/>
      <c r="D41" s="54">
        <f>SUM(D11:D40)</f>
        <v>58750</v>
      </c>
    </row>
    <row r="42" spans="1:5" ht="15.75" thickBot="1" x14ac:dyDescent="0.3"/>
    <row r="43" spans="1:5" ht="15.75" thickBot="1" x14ac:dyDescent="0.3">
      <c r="A43" s="35" t="s">
        <v>407</v>
      </c>
      <c r="B43" s="41"/>
      <c r="C43" s="41"/>
      <c r="D43" s="41"/>
      <c r="E43" s="42"/>
    </row>
    <row r="44" spans="1:5" x14ac:dyDescent="0.25">
      <c r="A44" s="39" t="s">
        <v>408</v>
      </c>
      <c r="D44" s="20">
        <v>1500000</v>
      </c>
    </row>
    <row r="45" spans="1:5" x14ac:dyDescent="0.25">
      <c r="A45" s="55" t="s">
        <v>409</v>
      </c>
      <c r="D45" s="56">
        <f>D41</f>
        <v>58750</v>
      </c>
    </row>
    <row r="46" spans="1:5" x14ac:dyDescent="0.25">
      <c r="A46" s="57" t="s">
        <v>410</v>
      </c>
      <c r="D46" s="58">
        <f>D44-D45</f>
        <v>1441250</v>
      </c>
    </row>
    <row r="47" spans="1:5" ht="15.75" thickBot="1" x14ac:dyDescent="0.3">
      <c r="A47" s="136"/>
      <c r="B47" s="136"/>
      <c r="C47" s="136"/>
      <c r="D47" s="136"/>
      <c r="E47" s="136"/>
    </row>
    <row r="48" spans="1:5" ht="15.75" thickBot="1" x14ac:dyDescent="0.3">
      <c r="A48" s="149" t="s">
        <v>411</v>
      </c>
      <c r="B48" s="138"/>
      <c r="C48" s="138"/>
      <c r="D48" s="138"/>
      <c r="E48" s="139"/>
    </row>
    <row r="49" spans="1:5" x14ac:dyDescent="0.25">
      <c r="A49" s="150" t="s">
        <v>412</v>
      </c>
      <c r="B49" s="146"/>
      <c r="C49" s="146"/>
      <c r="D49" s="146"/>
      <c r="E49" s="147"/>
    </row>
    <row r="50" spans="1:5" x14ac:dyDescent="0.25">
      <c r="A50" s="150" t="s">
        <v>413</v>
      </c>
      <c r="B50" s="146"/>
      <c r="C50" s="146"/>
      <c r="D50" s="146"/>
      <c r="E50" s="147"/>
    </row>
    <row r="51" spans="1:5" x14ac:dyDescent="0.25">
      <c r="A51" s="39" t="s">
        <v>414</v>
      </c>
      <c r="B51" s="37"/>
      <c r="C51" s="37"/>
      <c r="D51" s="37"/>
      <c r="E51" s="38"/>
    </row>
    <row r="52" spans="1:5" x14ac:dyDescent="0.25">
      <c r="A52" s="39" t="s">
        <v>415</v>
      </c>
      <c r="B52" s="37"/>
      <c r="C52" s="37"/>
      <c r="D52" s="37"/>
      <c r="E52" s="38"/>
    </row>
    <row r="53" spans="1:5" x14ac:dyDescent="0.25">
      <c r="A53" s="39" t="s">
        <v>416</v>
      </c>
      <c r="B53" s="37"/>
      <c r="C53" s="37"/>
      <c r="D53" s="37"/>
      <c r="E53" s="38"/>
    </row>
  </sheetData>
  <mergeCells count="7">
    <mergeCell ref="A1:E1"/>
    <mergeCell ref="A50:E50"/>
    <mergeCell ref="A9:E9"/>
    <mergeCell ref="A3:E3"/>
    <mergeCell ref="A49:E49"/>
    <mergeCell ref="A48:E48"/>
    <mergeCell ref="A47:E47"/>
  </mergeCells>
  <dataValidations count="3">
    <dataValidation type="list" allowBlank="1" showInputMessage="1" showErrorMessage="1" sqref="E11:E40" xr:uid="{D7AC2C96-59ED-433D-BDDB-2DF06C5FB0C6}">
      <formula1>$Q$5:$Q$7</formula1>
    </dataValidation>
    <dataValidation type="list" allowBlank="1" showInputMessage="1" showErrorMessage="1" sqref="C11:C40" xr:uid="{30261FF2-122F-49EE-B7CD-805DA4408725}">
      <formula1>$P$5:$P$9</formula1>
    </dataValidation>
    <dataValidation type="list" allowBlank="1" showInputMessage="1" showErrorMessage="1" sqref="B11:B40" xr:uid="{0C8C6EDA-02A0-49EA-B46C-C8E1B36CC388}">
      <formula1>$O$5:$O$12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🧮 Калькулятор</vt:lpstr>
      <vt:lpstr>📋 Прайс-лист</vt:lpstr>
      <vt:lpstr>📊 Сводная</vt:lpstr>
      <vt:lpstr>💰 Доходы</vt:lpstr>
      <vt:lpstr>💸 Расходы</vt:lpstr>
      <vt:lpstr>🔧 Техника</vt:lpstr>
      <vt:lpstr>🚀 План сезона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2026-02-20T09:27:45Z</dcterms:created>
  <dcterms:modified xsi:type="dcterms:W3CDTF">2026-03-01T18:44:06Z</dcterms:modified>
</cp:coreProperties>
</file>